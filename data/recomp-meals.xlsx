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dient Breakdown" sheetId="1" state="visible" r:id="rId3"/>
    <sheet name="Preset Meals" sheetId="2" state="visible" r:id="rId4"/>
    <sheet name="Eating Out + More Meals" sheetId="3" state="visible" r:id="rId5"/>
    <sheet name="Targets &amp; Sample Da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<sst xmlns="http://schemas.openxmlformats.org/spreadsheetml/2006/main" count="381" uniqueCount="236">
  <si>
    <t xml:space="preserve">Meal</t>
  </si>
  <si>
    <t xml:space="preserve">Ingredient</t>
  </si>
  <si>
    <t xml:space="preserve">Amount</t>
  </si>
  <si>
    <t xml:space="preserve">Calories</t>
  </si>
  <si>
    <t xml:space="preserve">Protein (g)</t>
  </si>
  <si>
    <t xml:space="preserve">Carbs (g)</t>
  </si>
  <si>
    <t xml:space="preserve">Fat (g)</t>
  </si>
  <si>
    <t xml:space="preserve">Fiber (g)</t>
  </si>
  <si>
    <t xml:space="preserve">Sugar (g)</t>
  </si>
  <si>
    <t xml:space="preserve">Sodium (mg)</t>
  </si>
  <si>
    <t xml:space="preserve">Potassium (mg)</t>
  </si>
  <si>
    <t xml:space="preserve">Calcium (mg)</t>
  </si>
  <si>
    <t xml:space="preserve">Iron (mg)</t>
  </si>
  <si>
    <t xml:space="preserve">Notable micronutrients</t>
  </si>
  <si>
    <t xml:space="preserve">Breakfast - Simple</t>
  </si>
  <si>
    <t xml:space="preserve">3 large eggs</t>
  </si>
  <si>
    <t xml:space="preserve">3 eggs</t>
  </si>
  <si>
    <t xml:space="preserve">Choline 441mg, Vit D 132 IU, B12 1.35mcg, Selenium 45mcg</t>
  </si>
  <si>
    <t xml:space="preserve">Avocado</t>
  </si>
  <si>
    <t xml:space="preserve">1/2 medium (75g)</t>
  </si>
  <si>
    <t xml:space="preserve">Potassium 360mg, Folate 61mcg, Magnesium 22mg</t>
  </si>
  <si>
    <t xml:space="preserve">TOTAL</t>
  </si>
  <si>
    <t xml:space="preserve">Breakfast - Eggs &amp; Avo (Full)</t>
  </si>
  <si>
    <t xml:space="preserve">Choline 441mg, Vit D 132 IU, B12 1.35mcg</t>
  </si>
  <si>
    <t xml:space="preserve">Potassium 360mg, Folate 61mcg</t>
  </si>
  <si>
    <t xml:space="preserve">Salsa</t>
  </si>
  <si>
    <t xml:space="preserve">2 tbsp (30g)</t>
  </si>
  <si>
    <t xml:space="preserve">Vit C</t>
  </si>
  <si>
    <t xml:space="preserve">Sourdough</t>
  </si>
  <si>
    <t xml:space="preserve">1/2 slice (25g)</t>
  </si>
  <si>
    <t xml:space="preserve">Selenium, manganese</t>
  </si>
  <si>
    <t xml:space="preserve">Coffee + Califia oat barista</t>
  </si>
  <si>
    <t xml:space="preserve">12 oz + 2 oz</t>
  </si>
  <si>
    <t xml:space="preserve">Fortified calcium, Vit D</t>
  </si>
  <si>
    <t xml:space="preserve">Breakfast - High Protein</t>
  </si>
  <si>
    <t xml:space="preserve">Fortified calcium</t>
  </si>
  <si>
    <t xml:space="preserve">Nonfat Greek yogurt</t>
  </si>
  <si>
    <t xml:space="preserve">3/4 cup (170g)</t>
  </si>
  <si>
    <t xml:space="preserve">B12, Calcium 170mg</t>
  </si>
  <si>
    <t xml:space="preserve">Lunch - Chicken Power Bowl</t>
  </si>
  <si>
    <t xml:space="preserve">Grilled chicken breast</t>
  </si>
  <si>
    <t xml:space="preserve">6 oz (170g)</t>
  </si>
  <si>
    <t xml:space="preserve">Niacin 17mg, B6 1.2mg, Selenium 40mcg</t>
  </si>
  <si>
    <t xml:space="preserve">Mixed greens + vegetables</t>
  </si>
  <si>
    <t xml:space="preserve">2 cups (150g)</t>
  </si>
  <si>
    <t xml:space="preserve">Vit C 40mg, Vit K 160mcg, Folate</t>
  </si>
  <si>
    <t xml:space="preserve">Brown rice, cooked</t>
  </si>
  <si>
    <t xml:space="preserve">1/2 cup (100g)</t>
  </si>
  <si>
    <t xml:space="preserve">Magnesium 43mg</t>
  </si>
  <si>
    <t xml:space="preserve">Olive oil</t>
  </si>
  <si>
    <t xml:space="preserve">1 tbsp (14g)</t>
  </si>
  <si>
    <t xml:space="preserve">Vit E 2mg</t>
  </si>
  <si>
    <t xml:space="preserve">Vinegar / salsa</t>
  </si>
  <si>
    <t xml:space="preserve">to taste</t>
  </si>
  <si>
    <t xml:space="preserve">trace</t>
  </si>
  <si>
    <t xml:space="preserve">Snack - Whey Shake + Apple</t>
  </si>
  <si>
    <t xml:space="preserve">Whey protein</t>
  </si>
  <si>
    <t xml:space="preserve">1 scoop (32g)</t>
  </si>
  <si>
    <t xml:space="preserve">Calcium, leucine</t>
  </si>
  <si>
    <t xml:space="preserve">Apple</t>
  </si>
  <si>
    <t xml:space="preserve">1 medium (182g)</t>
  </si>
  <si>
    <t xml:space="preserve">Vit C 8mg</t>
  </si>
  <si>
    <t xml:space="preserve">Snack - Cottage Cheese + Berries</t>
  </si>
  <si>
    <t xml:space="preserve">Lowfat cottage cheese</t>
  </si>
  <si>
    <t xml:space="preserve">1 cup (226g)</t>
  </si>
  <si>
    <t xml:space="preserve">B12, Selenium (high sodium)</t>
  </si>
  <si>
    <t xml:space="preserve">Mixed berries</t>
  </si>
  <si>
    <t xml:space="preserve">1/2 cup (75g)</t>
  </si>
  <si>
    <t xml:space="preserve">Vit C 25mg</t>
  </si>
  <si>
    <t xml:space="preserve">Dinner - Sirloin + Potatoes + Veg</t>
  </si>
  <si>
    <t xml:space="preserve">Lean sirloin, cooked</t>
  </si>
  <si>
    <t xml:space="preserve">7 oz (198g)</t>
  </si>
  <si>
    <t xml:space="preserve">Zinc 9mg, B12, Niacin, Selenium</t>
  </si>
  <si>
    <t xml:space="preserve">Potatoes, boiled</t>
  </si>
  <si>
    <t xml:space="preserve">1 cup (150g)</t>
  </si>
  <si>
    <t xml:space="preserve">Vit C, B6</t>
  </si>
  <si>
    <t xml:space="preserve">Roasted vegetables + 1 tsp oil</t>
  </si>
  <si>
    <t xml:space="preserve">1.5 cups (150g)</t>
  </si>
  <si>
    <t xml:space="preserve">Vit C 80mg, Vit K</t>
  </si>
  <si>
    <t xml:space="preserve">Dinner - Salmon + Rice + Veg</t>
  </si>
  <si>
    <t xml:space="preserve">Salmon, cooked</t>
  </si>
  <si>
    <t xml:space="preserve">Omega-3 3.5g, Vit D 570 IU, B12 5mcg</t>
  </si>
  <si>
    <t xml:space="preserve">3/4 cup (140g)</t>
  </si>
  <si>
    <t xml:space="preserve">Magnesium 60mg</t>
  </si>
  <si>
    <t xml:space="preserve">Vit C, Vit K</t>
  </si>
  <si>
    <t xml:space="preserve">Baja Salad + Grilled Chicken</t>
  </si>
  <si>
    <t xml:space="preserve">Grilled chicken</t>
  </si>
  <si>
    <t xml:space="preserve">Niacin, B6, Selenium</t>
  </si>
  <si>
    <t xml:space="preserve">Romaine + mixed veg</t>
  </si>
  <si>
    <t xml:space="preserve">Vit A, Vit C, Vit K</t>
  </si>
  <si>
    <t xml:space="preserve">Black beans</t>
  </si>
  <si>
    <t xml:space="preserve">1/4 cup (45g)</t>
  </si>
  <si>
    <t xml:space="preserve">Folate, Magnesium</t>
  </si>
  <si>
    <t xml:space="preserve">Roasted corn</t>
  </si>
  <si>
    <t xml:space="preserve">1/4 cup (40g)</t>
  </si>
  <si>
    <t xml:space="preserve">1/4 medium (38g)</t>
  </si>
  <si>
    <t xml:space="preserve">Potassium, Folate</t>
  </si>
  <si>
    <t xml:space="preserve">Lime-cilantro vinaigrette</t>
  </si>
  <si>
    <t xml:space="preserve">2 tbsp</t>
  </si>
  <si>
    <t xml:space="preserve">Dressing = main calorie lever; halve or side</t>
  </si>
  <si>
    <t xml:space="preserve">Pico de gallo</t>
  </si>
  <si>
    <t xml:space="preserve">Chicken Kabobs + Veggies (home)</t>
  </si>
  <si>
    <t xml:space="preserve">Grilled chicken, cubed</t>
  </si>
  <si>
    <t xml:space="preserve">7 oz cooked (198g)</t>
  </si>
  <si>
    <t xml:space="preserve">Niacin, B6, Selenium, Phosphorus</t>
  </si>
  <si>
    <t xml:space="preserve">Kabob veggies (pepper, onion, zucchini, mushroom, tomato)</t>
  </si>
  <si>
    <t xml:space="preserve">2 cups (200g)</t>
  </si>
  <si>
    <t xml:space="preserve">Vit C, Vit A, Potassium, Folate</t>
  </si>
  <si>
    <t xml:space="preserve">Olive oil (marinade/brush)</t>
  </si>
  <si>
    <t xml:space="preserve">1 tbsp</t>
  </si>
  <si>
    <t xml:space="preserve">Vit E, Vit K</t>
  </si>
  <si>
    <t xml:space="preserve">Hamburger Bowl (home)</t>
  </si>
  <si>
    <t xml:space="preserve">Lean ground beef 90/10, cooked</t>
  </si>
  <si>
    <t xml:space="preserve">Iron, Zinc, B12, Niacin</t>
  </si>
  <si>
    <t xml:space="preserve">Lettuce, tomato, onion, pickle</t>
  </si>
  <si>
    <t xml:space="preserve">Vit C, Vit K, Folate</t>
  </si>
  <si>
    <t xml:space="preserve">Cheddar cheese</t>
  </si>
  <si>
    <t xml:space="preserve">1 slice (28g)</t>
  </si>
  <si>
    <t xml:space="preserve">Calcium, B12</t>
  </si>
  <si>
    <t xml:space="preserve">Light burger sauce</t>
  </si>
  <si>
    <t xml:space="preserve">-</t>
  </si>
  <si>
    <t xml:space="preserve">Ground Chicken Mexican Bowl (home)</t>
  </si>
  <si>
    <t xml:space="preserve">Ground chicken w/ taco seasoning, cooked</t>
  </si>
  <si>
    <t xml:space="preserve">Magnesium</t>
  </si>
  <si>
    <t xml:space="preserve">Lettuce + pico/salsa</t>
  </si>
  <si>
    <t xml:space="preserve">1.5 cups (120g)</t>
  </si>
  <si>
    <t xml:space="preserve">Vit C, Vit A</t>
  </si>
  <si>
    <t xml:space="preserve">Shredded cheese</t>
  </si>
  <si>
    <t xml:space="preserve">2 tbsp (14g)</t>
  </si>
  <si>
    <t xml:space="preserve">Calcium</t>
  </si>
  <si>
    <t xml:space="preserve">Preset Meals - Quick Add to Tracker</t>
  </si>
  <si>
    <t xml:space="preserve">Choline, Vit D, B12, Folate, Potassium</t>
  </si>
  <si>
    <t xml:space="preserve">Choline, B12, Calcium, Folate, Potassium</t>
  </si>
  <si>
    <t xml:space="preserve">Niacin, B6, Vit C, Vit K, Folate, Selenium</t>
  </si>
  <si>
    <t xml:space="preserve">Calcium, Vit C, leucine</t>
  </si>
  <si>
    <t xml:space="preserve">B12, Calcium, Vit C, Selenium</t>
  </si>
  <si>
    <t xml:space="preserve">Iron, Zinc, B12, Niacin, Vit C, Potassium</t>
  </si>
  <si>
    <t xml:space="preserve">Omega-3, Vit D, B12, Magnesium, Selenium</t>
  </si>
  <si>
    <t xml:space="preserve">Niacin, Folate, Vit C, Potassium, fiber</t>
  </si>
  <si>
    <t xml:space="preserve">Niacin, B6, Vit C, Vit A, Potassium</t>
  </si>
  <si>
    <t xml:space="preserve">Iron, Zinc, B12, Calcium, Niacin</t>
  </si>
  <si>
    <t xml:space="preserve">Niacin, B6, Folate, Vit C, fiber</t>
  </si>
  <si>
    <t xml:space="preserve">Dinner Out (3 options each) + More Meals</t>
  </si>
  <si>
    <t xml:space="preserve">Order / Build</t>
  </si>
  <si>
    <t xml:space="preserve">Notes</t>
  </si>
  <si>
    <t xml:space="preserve">CHA CHA'S LATIN KITCHEN</t>
  </si>
  <si>
    <t xml:space="preserve">Chicken or Steak Fajitas</t>
  </si>
  <si>
    <t xml:space="preserve">Grilled achiote chicken or skirt steak + fajita peppers &amp; onions, 1-2 corn tortillas, pico + guac. Skip rice, beans, chips.</t>
  </si>
  <si>
    <t xml:space="preserve">Your go-to. Full plate with all sides runs 1000+; build it protein + veggies.</t>
  </si>
  <si>
    <t xml:space="preserve">Carne Asada</t>
  </si>
  <si>
    <t xml:space="preserve">Grilled skirt steak, achiote onions, poblano peppers, chimichurri. Limit or skip the potatoes.</t>
  </si>
  <si>
    <t xml:space="preserve">Clean steak + peppers. Chimichurri is fine, it's herb + oil.</t>
  </si>
  <si>
    <t xml:space="preserve">Roasted Yucatan Chicken</t>
  </si>
  <si>
    <t xml:space="preserve">Yucatan-spiced roasted chicken, calabasitas (squash), salsa, 1-2 corn tortillas.</t>
  </si>
  <si>
    <t xml:space="preserve">Leanest of the three. Grilled salmon or chopped salad w/ chicken also great.</t>
  </si>
  <si>
    <t xml:space="preserve">BAJA FISH TACOS</t>
  </si>
  <si>
    <t xml:space="preserve">Charbroiled Wahoo Salad</t>
  </si>
  <si>
    <t xml:space="preserve">Charbroiled (grilled) wahoo on the house salad, dressing on side, light cheese.</t>
  </si>
  <si>
    <t xml:space="preserve">Never beer-battered 'Ensenada'. Charbroiled or blackened only.</t>
  </si>
  <si>
    <t xml:space="preserve">Charbroiled Fish Tacos x3</t>
  </si>
  <si>
    <t xml:space="preserve">3 charbroiled wahoo tacos on corn, cabbage, salsa, light or no Baja sauce.</t>
  </si>
  <si>
    <t xml:space="preserve">Corn tortillas, not flour. Skip the rice + beans combo.</t>
  </si>
  <si>
    <t xml:space="preserve">Wahoo Ceviche</t>
  </si>
  <si>
    <t xml:space="preserve">Lime-cured wahoo, pico, avocado. Eat over lettuce or with a few chips.</t>
  </si>
  <si>
    <t xml:space="preserve">Lightest, leanest, high protein.</t>
  </si>
  <si>
    <t xml:space="preserve">QUE VIDA (Yorba Linda)</t>
  </si>
  <si>
    <t xml:space="preserve">Wood-Fire Salmon Salad</t>
  </si>
  <si>
    <t xml:space="preserve">Grilled salmon, kale, squash, roasted corn, avocado, mint citrus vinaigrette. Dressing on side.</t>
  </si>
  <si>
    <t xml:space="preserve">Skip tortilla strips.</t>
  </si>
  <si>
    <t xml:space="preserve">Grilled Chicken/Shrimp Salad</t>
  </si>
  <si>
    <t xml:space="preserve">Grilled shrimp (or sub chicken) salad, romaine, avocado, corn, cilantro-lime dressing on side.</t>
  </si>
  <si>
    <t xml:space="preserve">Dressing on side, skip strips.</t>
  </si>
  <si>
    <t xml:space="preserve">Lean Protein Bowl</t>
  </si>
  <si>
    <t xml:space="preserve">Double grilled chicken, extra fajita veggies, skip rice + chips, light chipotle crema.</t>
  </si>
  <si>
    <t xml:space="preserve">Build it lean; grilled protein only, no beer-battered.</t>
  </si>
  <si>
    <t xml:space="preserve">MENDOCINO FARMS</t>
  </si>
  <si>
    <t xml:space="preserve">Avocado &amp; Quinoa Ensalada + Chicken</t>
  </si>
  <si>
    <t xml:space="preserve">Superfood ensalada w/ grilled chicken, dressing on side (use ~half).</t>
  </si>
  <si>
    <t xml:space="preserve">Full = ~800 cal. Dressing is the lever. Big enough to split.</t>
  </si>
  <si>
    <t xml:space="preserve">Lemon Chicken &amp; Farro Soup + Side Salad</t>
  </si>
  <si>
    <t xml:space="preserve">Cup/bowl of lemon chicken farro soup plus a side salad.</t>
  </si>
  <si>
    <t xml:space="preserve">Lightest day option. Bread on the side or skip.</t>
  </si>
  <si>
    <t xml:space="preserve">Greens Salad + Grilled Chicken</t>
  </si>
  <si>
    <t xml:space="preserve">Modern Caesar (or any greens salad) + added grilled chicken, dressing on side.</t>
  </si>
  <si>
    <t xml:space="preserve">Dressing on side is the key move here.</t>
  </si>
  <si>
    <t xml:space="preserve">IN-N-OUT</t>
  </si>
  <si>
    <t xml:space="preserve">Double-Double Protein Style</t>
  </si>
  <si>
    <t xml:space="preserve">No bun (lettuce wrap), no spread, no fries.</t>
  </si>
  <si>
    <t xml:space="preserve">Order 'no spread' to trim more. Always skip fries + shake.</t>
  </si>
  <si>
    <t xml:space="preserve">3x3 Protein Style</t>
  </si>
  <si>
    <t xml:space="preserve">Triple patty/cheese, no bun, no spread. For higher protein.</t>
  </si>
  <si>
    <t xml:space="preserve">Most protein, but highest sodium. Occasional pick.</t>
  </si>
  <si>
    <t xml:space="preserve">Double Meat Protein Style (no cheese)</t>
  </si>
  <si>
    <t xml:space="preserve">Two patties, no cheese, no bun, no spread. Leanest build.</t>
  </si>
  <si>
    <t xml:space="preserve">Drops the cheese fat + sodium. Cleanest In-N-Out option.</t>
  </si>
  <si>
    <t xml:space="preserve">5 MORE GO-TO MEALS (home, easy, high protein)</t>
  </si>
  <si>
    <t xml:space="preserve">Greek Yogurt Protein Bowl</t>
  </si>
  <si>
    <t xml:space="preserve">1.5 cup nonfat Greek yogurt, 1/2 cup berries, 1 tbsp honey, 2 tbsp nuts/granola.</t>
  </si>
  <si>
    <t xml:space="preserve">Breakfast, snack, or light dinner.</t>
  </si>
  <si>
    <t xml:space="preserve">Turkey Taco Lettuce Wraps</t>
  </si>
  <si>
    <t xml:space="preserve">6 oz lean ground turkey, taco seasoning, lettuce cups, salsa, 1/4 avocado, light cheese.</t>
  </si>
  <si>
    <t xml:space="preserve">Swap turkey for lean beef or chicken.</t>
  </si>
  <si>
    <t xml:space="preserve">Shrimp &amp; Veggie Stir-Fry</t>
  </si>
  <si>
    <t xml:space="preserve">8 oz shrimp, 2 cups mixed veg, 1/2 cup rice, light teriyaki or low-sodium soy.</t>
  </si>
  <si>
    <t xml:space="preserve">Cauliflower rice to cut carbs.</t>
  </si>
  <si>
    <t xml:space="preserve">Sheet-Pan Chicken + Veg + Potato</t>
  </si>
  <si>
    <t xml:space="preserve">7 oz chicken, 1.5 cups veg, 1 small potato, 1 tsp oil.</t>
  </si>
  <si>
    <t xml:space="preserve">The lazy default. One pan.</t>
  </si>
  <si>
    <t xml:space="preserve">Seared Salmon or Tuna over Greens</t>
  </si>
  <si>
    <t xml:space="preserve">6 oz salmon (or 2 cans tuna), big greens, 1 tbsp olive oil + lemon.</t>
  </si>
  <si>
    <t xml:space="preserve">Omega-3 rich. Add 1/2 cup beans on training days.</t>
  </si>
  <si>
    <t xml:space="preserve">NIGHTTIME</t>
  </si>
  <si>
    <t xml:space="preserve">Whey Shake + Moon Brew</t>
  </si>
  <si>
    <t xml:space="preserve">1 scoop whey + water or almond milk; Moon Brew.</t>
  </si>
  <si>
    <t xml:space="preserve">Moon Brew ~10 cal. Hits protein before bed.</t>
  </si>
  <si>
    <t xml:space="preserve">Daily Targets</t>
  </si>
  <si>
    <t xml:space="preserve">Metric</t>
  </si>
  <si>
    <t xml:space="preserve">Target</t>
  </si>
  <si>
    <t xml:space="preserve">2,050 - 2,150</t>
  </si>
  <si>
    <t xml:space="preserve">Protein</t>
  </si>
  <si>
    <t xml:space="preserve">175 - 190 g</t>
  </si>
  <si>
    <t xml:space="preserve">Carbs</t>
  </si>
  <si>
    <t xml:space="preserve">~120 - 160 g (flexible)</t>
  </si>
  <si>
    <t xml:space="preserve">Fat</t>
  </si>
  <si>
    <t xml:space="preserve">60 - 80 g</t>
  </si>
  <si>
    <t xml:space="preserve">Fiber</t>
  </si>
  <si>
    <t xml:space="preserve">25 g or more</t>
  </si>
  <si>
    <t xml:space="preserve">Water</t>
  </si>
  <si>
    <t xml:space="preserve">3 - 4 liters</t>
  </si>
  <si>
    <t xml:space="preserve">Sample Day (hits the targets)</t>
  </si>
  <si>
    <t xml:space="preserve">Daily treat (1 cookie / square chocolate)</t>
  </si>
  <si>
    <t xml:space="preserve">DAY TOTAL</t>
  </si>
  <si>
    <t xml:space="preserve">Restaurant numbers are meal-level estimates from published menus and nutrition data; actual values vary by location and build.</t>
  </si>
  <si>
    <t xml:space="preserve">Order rule for ANY restaurant: grilled/charbroiled not fried/battered, protein first, dressing/crema/cheese on the side, limit rice/tortillas/chips, salsa + veggies free.</t>
  </si>
  <si>
    <t xml:space="preserve">Home-meal macros are reliable; micronutrient values approximate.</t>
  </si>
  <si>
    <t xml:space="preserve">Ingredient Breakdown totals update automatically when you change an amount.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</si>
</sst>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F5233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555555"/>
      </patternFill>
    </fill>
    <fill>
      <patternFill patternType="solid">
        <fgColor rgb="FFD9E1D4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4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3" t="n">
        <v>216</v>
      </c>
      <c r="E2" s="4" t="n">
        <v>18.9</v>
      </c>
      <c r="F2" s="4" t="n">
        <v>1.2</v>
      </c>
      <c r="G2" s="4" t="n">
        <v>14.4</v>
      </c>
      <c r="H2" s="4" t="n">
        <v>0</v>
      </c>
      <c r="I2" s="4" t="n">
        <v>1.1</v>
      </c>
      <c r="J2" s="3" t="n">
        <v>213</v>
      </c>
      <c r="K2" s="3" t="n">
        <v>207</v>
      </c>
      <c r="L2" s="3" t="n">
        <v>84</v>
      </c>
      <c r="M2" s="4" t="n">
        <v>1.8</v>
      </c>
      <c r="N2" s="2" t="s">
        <v>17</v>
      </c>
    </row>
    <row r="3" customFormat="false" ht="15" hidden="false" customHeight="false" outlineLevel="0" collapsed="false">
      <c r="A3" s="2" t="s">
        <v>14</v>
      </c>
      <c r="B3" s="2" t="s">
        <v>18</v>
      </c>
      <c r="C3" s="2" t="s">
        <v>19</v>
      </c>
      <c r="D3" s="3" t="n">
        <v>120</v>
      </c>
      <c r="E3" s="4" t="n">
        <v>1.5</v>
      </c>
      <c r="F3" s="4" t="n">
        <v>6</v>
      </c>
      <c r="G3" s="4" t="n">
        <v>11</v>
      </c>
      <c r="H3" s="4" t="n">
        <v>5</v>
      </c>
      <c r="I3" s="4" t="n">
        <v>0.5</v>
      </c>
      <c r="J3" s="3" t="n">
        <v>7</v>
      </c>
      <c r="K3" s="3" t="n">
        <v>360</v>
      </c>
      <c r="L3" s="3" t="n">
        <v>9</v>
      </c>
      <c r="M3" s="4" t="n">
        <v>0.4</v>
      </c>
      <c r="N3" s="2" t="s">
        <v>20</v>
      </c>
    </row>
    <row r="4" customFormat="false" ht="15" hidden="false" customHeight="false" outlineLevel="0" collapsed="false">
      <c r="A4" s="5" t="s">
        <v>14</v>
      </c>
      <c r="B4" s="5" t="s">
        <v>21</v>
      </c>
      <c r="C4" s="5"/>
      <c r="D4" s="6" t="n">
        <f aca="false">SUM(D2:D3)</f>
        <v>336</v>
      </c>
      <c r="E4" s="7" t="n">
        <f aca="false">SUM(E2:E3)</f>
        <v>20.4</v>
      </c>
      <c r="F4" s="7" t="n">
        <f aca="false">SUM(F2:F3)</f>
        <v>7.2</v>
      </c>
      <c r="G4" s="7" t="n">
        <f aca="false">SUM(G2:G3)</f>
        <v>25.4</v>
      </c>
      <c r="H4" s="7" t="n">
        <f aca="false">SUM(H2:H3)</f>
        <v>5</v>
      </c>
      <c r="I4" s="7" t="n">
        <f aca="false">SUM(I2:I3)</f>
        <v>1.6</v>
      </c>
      <c r="J4" s="6" t="n">
        <f aca="false">SUM(J2:J3)</f>
        <v>220</v>
      </c>
      <c r="K4" s="6" t="n">
        <f aca="false">SUM(K2:K3)</f>
        <v>567</v>
      </c>
      <c r="L4" s="6" t="n">
        <f aca="false">SUM(L2:L3)</f>
        <v>93</v>
      </c>
      <c r="M4" s="7" t="n">
        <f aca="false">SUM(M2:M3)</f>
        <v>2.2</v>
      </c>
      <c r="N4" s="5"/>
    </row>
    <row r="6" customFormat="false" ht="15" hidden="false" customHeight="false" outlineLevel="0" collapsed="false">
      <c r="A6" s="2" t="s">
        <v>22</v>
      </c>
      <c r="B6" s="2" t="s">
        <v>15</v>
      </c>
      <c r="C6" s="2" t="s">
        <v>16</v>
      </c>
      <c r="D6" s="3" t="n">
        <v>216</v>
      </c>
      <c r="E6" s="4" t="n">
        <v>18.9</v>
      </c>
      <c r="F6" s="4" t="n">
        <v>1.2</v>
      </c>
      <c r="G6" s="4" t="n">
        <v>14.4</v>
      </c>
      <c r="H6" s="4" t="n">
        <v>0</v>
      </c>
      <c r="I6" s="4" t="n">
        <v>1.1</v>
      </c>
      <c r="J6" s="3" t="n">
        <v>213</v>
      </c>
      <c r="K6" s="3" t="n">
        <v>207</v>
      </c>
      <c r="L6" s="3" t="n">
        <v>84</v>
      </c>
      <c r="M6" s="4" t="n">
        <v>1.8</v>
      </c>
      <c r="N6" s="2" t="s">
        <v>23</v>
      </c>
    </row>
    <row r="7" customFormat="false" ht="15" hidden="false" customHeight="false" outlineLevel="0" collapsed="false">
      <c r="A7" s="2" t="s">
        <v>22</v>
      </c>
      <c r="B7" s="2" t="s">
        <v>18</v>
      </c>
      <c r="C7" s="2" t="s">
        <v>19</v>
      </c>
      <c r="D7" s="3" t="n">
        <v>120</v>
      </c>
      <c r="E7" s="4" t="n">
        <v>1.5</v>
      </c>
      <c r="F7" s="4" t="n">
        <v>6</v>
      </c>
      <c r="G7" s="4" t="n">
        <v>11</v>
      </c>
      <c r="H7" s="4" t="n">
        <v>5</v>
      </c>
      <c r="I7" s="4" t="n">
        <v>0.5</v>
      </c>
      <c r="J7" s="3" t="n">
        <v>7</v>
      </c>
      <c r="K7" s="3" t="n">
        <v>360</v>
      </c>
      <c r="L7" s="3" t="n">
        <v>9</v>
      </c>
      <c r="M7" s="4" t="n">
        <v>0.4</v>
      </c>
      <c r="N7" s="2" t="s">
        <v>24</v>
      </c>
    </row>
    <row r="8" customFormat="false" ht="15" hidden="false" customHeight="false" outlineLevel="0" collapsed="false">
      <c r="A8" s="2" t="s">
        <v>22</v>
      </c>
      <c r="B8" s="2" t="s">
        <v>25</v>
      </c>
      <c r="C8" s="2" t="s">
        <v>26</v>
      </c>
      <c r="D8" s="3" t="n">
        <v>10</v>
      </c>
      <c r="E8" s="4" t="n">
        <v>0.5</v>
      </c>
      <c r="F8" s="4" t="n">
        <v>2</v>
      </c>
      <c r="G8" s="4" t="n">
        <v>0</v>
      </c>
      <c r="H8" s="4" t="n">
        <v>0.5</v>
      </c>
      <c r="I8" s="4" t="n">
        <v>1.5</v>
      </c>
      <c r="J8" s="3" t="n">
        <v>200</v>
      </c>
      <c r="K8" s="3" t="n">
        <v>60</v>
      </c>
      <c r="L8" s="3" t="n">
        <v>8</v>
      </c>
      <c r="M8" s="4" t="n">
        <v>0.1</v>
      </c>
      <c r="N8" s="2" t="s">
        <v>27</v>
      </c>
    </row>
    <row r="9" customFormat="false" ht="15" hidden="false" customHeight="false" outlineLevel="0" collapsed="false">
      <c r="A9" s="2" t="s">
        <v>22</v>
      </c>
      <c r="B9" s="2" t="s">
        <v>28</v>
      </c>
      <c r="C9" s="2" t="s">
        <v>29</v>
      </c>
      <c r="D9" s="3" t="n">
        <v>55</v>
      </c>
      <c r="E9" s="4" t="n">
        <v>2</v>
      </c>
      <c r="F9" s="4" t="n">
        <v>11</v>
      </c>
      <c r="G9" s="4" t="n">
        <v>0.5</v>
      </c>
      <c r="H9" s="4" t="n">
        <v>0.5</v>
      </c>
      <c r="I9" s="4" t="n">
        <v>0.5</v>
      </c>
      <c r="J9" s="3" t="n">
        <v>110</v>
      </c>
      <c r="K9" s="3" t="n">
        <v>30</v>
      </c>
      <c r="L9" s="3" t="n">
        <v>5</v>
      </c>
      <c r="M9" s="4" t="n">
        <v>0.7</v>
      </c>
      <c r="N9" s="2" t="s">
        <v>30</v>
      </c>
    </row>
    <row r="10" customFormat="false" ht="15" hidden="false" customHeight="false" outlineLevel="0" collapsed="false">
      <c r="A10" s="2" t="s">
        <v>22</v>
      </c>
      <c r="B10" s="2" t="s">
        <v>31</v>
      </c>
      <c r="C10" s="2" t="s">
        <v>32</v>
      </c>
      <c r="D10" s="3" t="n">
        <v>25</v>
      </c>
      <c r="E10" s="4" t="n">
        <v>0.5</v>
      </c>
      <c r="F10" s="4" t="n">
        <v>2</v>
      </c>
      <c r="G10" s="4" t="n">
        <v>1</v>
      </c>
      <c r="H10" s="4" t="n">
        <v>0</v>
      </c>
      <c r="I10" s="4" t="n">
        <v>1</v>
      </c>
      <c r="J10" s="3" t="n">
        <v>30</v>
      </c>
      <c r="K10" s="3" t="n">
        <v>130</v>
      </c>
      <c r="L10" s="3" t="n">
        <v>50</v>
      </c>
      <c r="M10" s="4" t="n">
        <v>0.2</v>
      </c>
      <c r="N10" s="2" t="s">
        <v>33</v>
      </c>
    </row>
    <row r="11" customFormat="false" ht="15" hidden="false" customHeight="false" outlineLevel="0" collapsed="false">
      <c r="A11" s="5" t="s">
        <v>22</v>
      </c>
      <c r="B11" s="5" t="s">
        <v>21</v>
      </c>
      <c r="C11" s="5"/>
      <c r="D11" s="6" t="n">
        <f aca="false">SUM(D6:D10)</f>
        <v>426</v>
      </c>
      <c r="E11" s="7" t="n">
        <f aca="false">SUM(E6:E10)</f>
        <v>23.4</v>
      </c>
      <c r="F11" s="7" t="n">
        <f aca="false">SUM(F6:F10)</f>
        <v>22.2</v>
      </c>
      <c r="G11" s="7" t="n">
        <f aca="false">SUM(G6:G10)</f>
        <v>26.9</v>
      </c>
      <c r="H11" s="7" t="n">
        <f aca="false">SUM(H6:H10)</f>
        <v>6</v>
      </c>
      <c r="I11" s="7" t="n">
        <f aca="false">SUM(I6:I10)</f>
        <v>4.6</v>
      </c>
      <c r="J11" s="6" t="n">
        <f aca="false">SUM(J6:J10)</f>
        <v>560</v>
      </c>
      <c r="K11" s="6" t="n">
        <f aca="false">SUM(K6:K10)</f>
        <v>787</v>
      </c>
      <c r="L11" s="6" t="n">
        <f aca="false">SUM(L6:L10)</f>
        <v>156</v>
      </c>
      <c r="M11" s="7" t="n">
        <f aca="false">SUM(M6:M10)</f>
        <v>3.2</v>
      </c>
      <c r="N11" s="5"/>
    </row>
    <row r="13" customFormat="false" ht="15" hidden="false" customHeight="false" outlineLevel="0" collapsed="false">
      <c r="A13" s="2" t="s">
        <v>34</v>
      </c>
      <c r="B13" s="2" t="s">
        <v>15</v>
      </c>
      <c r="C13" s="2" t="s">
        <v>16</v>
      </c>
      <c r="D13" s="3" t="n">
        <v>216</v>
      </c>
      <c r="E13" s="4" t="n">
        <v>18.9</v>
      </c>
      <c r="F13" s="4" t="n">
        <v>1.2</v>
      </c>
      <c r="G13" s="4" t="n">
        <v>14.4</v>
      </c>
      <c r="H13" s="4" t="n">
        <v>0</v>
      </c>
      <c r="I13" s="4" t="n">
        <v>1.1</v>
      </c>
      <c r="J13" s="3" t="n">
        <v>213</v>
      </c>
      <c r="K13" s="3" t="n">
        <v>207</v>
      </c>
      <c r="L13" s="3" t="n">
        <v>84</v>
      </c>
      <c r="M13" s="4" t="n">
        <v>1.8</v>
      </c>
      <c r="N13" s="2" t="s">
        <v>23</v>
      </c>
    </row>
    <row r="14" customFormat="false" ht="15" hidden="false" customHeight="false" outlineLevel="0" collapsed="false">
      <c r="A14" s="2" t="s">
        <v>34</v>
      </c>
      <c r="B14" s="2" t="s">
        <v>18</v>
      </c>
      <c r="C14" s="2" t="s">
        <v>19</v>
      </c>
      <c r="D14" s="3" t="n">
        <v>120</v>
      </c>
      <c r="E14" s="4" t="n">
        <v>1.5</v>
      </c>
      <c r="F14" s="4" t="n">
        <v>6</v>
      </c>
      <c r="G14" s="4" t="n">
        <v>11</v>
      </c>
      <c r="H14" s="4" t="n">
        <v>5</v>
      </c>
      <c r="I14" s="4" t="n">
        <v>0.5</v>
      </c>
      <c r="J14" s="3" t="n">
        <v>7</v>
      </c>
      <c r="K14" s="3" t="n">
        <v>360</v>
      </c>
      <c r="L14" s="3" t="n">
        <v>9</v>
      </c>
      <c r="M14" s="4" t="n">
        <v>0.4</v>
      </c>
      <c r="N14" s="2" t="s">
        <v>24</v>
      </c>
    </row>
    <row r="15" customFormat="false" ht="15" hidden="false" customHeight="false" outlineLevel="0" collapsed="false">
      <c r="A15" s="2" t="s">
        <v>34</v>
      </c>
      <c r="B15" s="2" t="s">
        <v>25</v>
      </c>
      <c r="C15" s="2" t="s">
        <v>26</v>
      </c>
      <c r="D15" s="3" t="n">
        <v>10</v>
      </c>
      <c r="E15" s="4" t="n">
        <v>0.5</v>
      </c>
      <c r="F15" s="4" t="n">
        <v>2</v>
      </c>
      <c r="G15" s="4" t="n">
        <v>0</v>
      </c>
      <c r="H15" s="4" t="n">
        <v>0.5</v>
      </c>
      <c r="I15" s="4" t="n">
        <v>1.5</v>
      </c>
      <c r="J15" s="3" t="n">
        <v>200</v>
      </c>
      <c r="K15" s="3" t="n">
        <v>60</v>
      </c>
      <c r="L15" s="3" t="n">
        <v>8</v>
      </c>
      <c r="M15" s="4" t="n">
        <v>0.1</v>
      </c>
      <c r="N15" s="2" t="s">
        <v>27</v>
      </c>
    </row>
    <row r="16" customFormat="false" ht="15" hidden="false" customHeight="false" outlineLevel="0" collapsed="false">
      <c r="A16" s="2" t="s">
        <v>34</v>
      </c>
      <c r="B16" s="2" t="s">
        <v>28</v>
      </c>
      <c r="C16" s="2" t="s">
        <v>29</v>
      </c>
      <c r="D16" s="3" t="n">
        <v>55</v>
      </c>
      <c r="E16" s="4" t="n">
        <v>2</v>
      </c>
      <c r="F16" s="4" t="n">
        <v>11</v>
      </c>
      <c r="G16" s="4" t="n">
        <v>0.5</v>
      </c>
      <c r="H16" s="4" t="n">
        <v>0.5</v>
      </c>
      <c r="I16" s="4" t="n">
        <v>0.5</v>
      </c>
      <c r="J16" s="3" t="n">
        <v>110</v>
      </c>
      <c r="K16" s="3" t="n">
        <v>30</v>
      </c>
      <c r="L16" s="3" t="n">
        <v>5</v>
      </c>
      <c r="M16" s="4" t="n">
        <v>0.7</v>
      </c>
      <c r="N16" s="2" t="s">
        <v>30</v>
      </c>
    </row>
    <row r="17" customFormat="false" ht="15" hidden="false" customHeight="false" outlineLevel="0" collapsed="false">
      <c r="A17" s="2" t="s">
        <v>34</v>
      </c>
      <c r="B17" s="2" t="s">
        <v>31</v>
      </c>
      <c r="C17" s="2" t="s">
        <v>32</v>
      </c>
      <c r="D17" s="3" t="n">
        <v>25</v>
      </c>
      <c r="E17" s="4" t="n">
        <v>0.5</v>
      </c>
      <c r="F17" s="4" t="n">
        <v>2</v>
      </c>
      <c r="G17" s="4" t="n">
        <v>1</v>
      </c>
      <c r="H17" s="4" t="n">
        <v>0</v>
      </c>
      <c r="I17" s="4" t="n">
        <v>1</v>
      </c>
      <c r="J17" s="3" t="n">
        <v>30</v>
      </c>
      <c r="K17" s="3" t="n">
        <v>130</v>
      </c>
      <c r="L17" s="3" t="n">
        <v>50</v>
      </c>
      <c r="M17" s="4" t="n">
        <v>0.2</v>
      </c>
      <c r="N17" s="2" t="s">
        <v>35</v>
      </c>
    </row>
    <row r="18" customFormat="false" ht="15" hidden="false" customHeight="false" outlineLevel="0" collapsed="false">
      <c r="A18" s="2" t="s">
        <v>34</v>
      </c>
      <c r="B18" s="2" t="s">
        <v>36</v>
      </c>
      <c r="C18" s="2" t="s">
        <v>37</v>
      </c>
      <c r="D18" s="3" t="n">
        <v>95</v>
      </c>
      <c r="E18" s="4" t="n">
        <v>16</v>
      </c>
      <c r="F18" s="4" t="n">
        <v>6</v>
      </c>
      <c r="G18" s="4" t="n">
        <v>0</v>
      </c>
      <c r="H18" s="4" t="n">
        <v>0</v>
      </c>
      <c r="I18" s="4" t="n">
        <v>5</v>
      </c>
      <c r="J18" s="3" t="n">
        <v>65</v>
      </c>
      <c r="K18" s="3" t="n">
        <v>220</v>
      </c>
      <c r="L18" s="3" t="n">
        <v>170</v>
      </c>
      <c r="M18" s="4" t="n">
        <v>0.1</v>
      </c>
      <c r="N18" s="2" t="s">
        <v>38</v>
      </c>
    </row>
    <row r="19" customFormat="false" ht="15" hidden="false" customHeight="false" outlineLevel="0" collapsed="false">
      <c r="A19" s="5" t="s">
        <v>34</v>
      </c>
      <c r="B19" s="5" t="s">
        <v>21</v>
      </c>
      <c r="C19" s="5"/>
      <c r="D19" s="6" t="n">
        <f aca="false">SUM(D13:D18)</f>
        <v>521</v>
      </c>
      <c r="E19" s="7" t="n">
        <f aca="false">SUM(E13:E18)</f>
        <v>39.4</v>
      </c>
      <c r="F19" s="7" t="n">
        <f aca="false">SUM(F13:F18)</f>
        <v>28.2</v>
      </c>
      <c r="G19" s="7" t="n">
        <f aca="false">SUM(G13:G18)</f>
        <v>26.9</v>
      </c>
      <c r="H19" s="7" t="n">
        <f aca="false">SUM(H13:H18)</f>
        <v>6</v>
      </c>
      <c r="I19" s="7" t="n">
        <f aca="false">SUM(I13:I18)</f>
        <v>9.6</v>
      </c>
      <c r="J19" s="6" t="n">
        <f aca="false">SUM(J13:J18)</f>
        <v>625</v>
      </c>
      <c r="K19" s="6" t="n">
        <f aca="false">SUM(K13:K18)</f>
        <v>1007</v>
      </c>
      <c r="L19" s="6" t="n">
        <f aca="false">SUM(L13:L18)</f>
        <v>326</v>
      </c>
      <c r="M19" s="7" t="n">
        <f aca="false">SUM(M13:M18)</f>
        <v>3.3</v>
      </c>
      <c r="N19" s="5"/>
    </row>
    <row r="21" customFormat="false" ht="15" hidden="false" customHeight="false" outlineLevel="0" collapsed="false">
      <c r="A21" s="2" t="s">
        <v>39</v>
      </c>
      <c r="B21" s="2" t="s">
        <v>40</v>
      </c>
      <c r="C21" s="2" t="s">
        <v>41</v>
      </c>
      <c r="D21" s="3" t="n">
        <v>280</v>
      </c>
      <c r="E21" s="4" t="n">
        <v>52</v>
      </c>
      <c r="F21" s="4" t="n">
        <v>0</v>
      </c>
      <c r="G21" s="4" t="n">
        <v>6</v>
      </c>
      <c r="H21" s="4" t="n">
        <v>0</v>
      </c>
      <c r="I21" s="4" t="n">
        <v>0</v>
      </c>
      <c r="J21" s="3" t="n">
        <v>125</v>
      </c>
      <c r="K21" s="3" t="n">
        <v>440</v>
      </c>
      <c r="L21" s="3" t="n">
        <v>12</v>
      </c>
      <c r="M21" s="4" t="n">
        <v>1</v>
      </c>
      <c r="N21" s="2" t="s">
        <v>42</v>
      </c>
    </row>
    <row r="22" customFormat="false" ht="15" hidden="false" customHeight="false" outlineLevel="0" collapsed="false">
      <c r="A22" s="2" t="s">
        <v>39</v>
      </c>
      <c r="B22" s="2" t="s">
        <v>43</v>
      </c>
      <c r="C22" s="2" t="s">
        <v>44</v>
      </c>
      <c r="D22" s="3" t="n">
        <v>40</v>
      </c>
      <c r="E22" s="4" t="n">
        <v>2</v>
      </c>
      <c r="F22" s="4" t="n">
        <v>8</v>
      </c>
      <c r="G22" s="4" t="n">
        <v>0.5</v>
      </c>
      <c r="H22" s="4" t="n">
        <v>3</v>
      </c>
      <c r="I22" s="4" t="n">
        <v>4</v>
      </c>
      <c r="J22" s="3" t="n">
        <v>30</v>
      </c>
      <c r="K22" s="3" t="n">
        <v>400</v>
      </c>
      <c r="L22" s="3" t="n">
        <v>60</v>
      </c>
      <c r="M22" s="4" t="n">
        <v>1.5</v>
      </c>
      <c r="N22" s="2" t="s">
        <v>45</v>
      </c>
    </row>
    <row r="23" customFormat="false" ht="15" hidden="false" customHeight="false" outlineLevel="0" collapsed="false">
      <c r="A23" s="2" t="s">
        <v>39</v>
      </c>
      <c r="B23" s="2" t="s">
        <v>46</v>
      </c>
      <c r="C23" s="2" t="s">
        <v>47</v>
      </c>
      <c r="D23" s="3" t="n">
        <v>108</v>
      </c>
      <c r="E23" s="4" t="n">
        <v>2.5</v>
      </c>
      <c r="F23" s="4" t="n">
        <v>22</v>
      </c>
      <c r="G23" s="4" t="n">
        <v>0.9</v>
      </c>
      <c r="H23" s="4" t="n">
        <v>1.8</v>
      </c>
      <c r="I23" s="4" t="n">
        <v>0</v>
      </c>
      <c r="J23" s="3" t="n">
        <v>5</v>
      </c>
      <c r="K23" s="3" t="n">
        <v>75</v>
      </c>
      <c r="L23" s="3" t="n">
        <v>10</v>
      </c>
      <c r="M23" s="4" t="n">
        <v>0.5</v>
      </c>
      <c r="N23" s="2" t="s">
        <v>48</v>
      </c>
    </row>
    <row r="24" customFormat="false" ht="15" hidden="false" customHeight="false" outlineLevel="0" collapsed="false">
      <c r="A24" s="2" t="s">
        <v>39</v>
      </c>
      <c r="B24" s="2" t="s">
        <v>49</v>
      </c>
      <c r="C24" s="2" t="s">
        <v>50</v>
      </c>
      <c r="D24" s="3" t="n">
        <v>120</v>
      </c>
      <c r="E24" s="4" t="n">
        <v>0</v>
      </c>
      <c r="F24" s="4" t="n">
        <v>0</v>
      </c>
      <c r="G24" s="4" t="n">
        <v>14</v>
      </c>
      <c r="H24" s="4" t="n">
        <v>0</v>
      </c>
      <c r="I24" s="4" t="n">
        <v>0</v>
      </c>
      <c r="J24" s="3" t="n">
        <v>0</v>
      </c>
      <c r="K24" s="3" t="n">
        <v>0</v>
      </c>
      <c r="L24" s="3" t="n">
        <v>0</v>
      </c>
      <c r="M24" s="4" t="n">
        <v>0</v>
      </c>
      <c r="N24" s="2" t="s">
        <v>51</v>
      </c>
    </row>
    <row r="25" customFormat="false" ht="15" hidden="false" customHeight="false" outlineLevel="0" collapsed="false">
      <c r="A25" s="2" t="s">
        <v>39</v>
      </c>
      <c r="B25" s="2" t="s">
        <v>52</v>
      </c>
      <c r="C25" s="2" t="s">
        <v>53</v>
      </c>
      <c r="D25" s="3" t="n">
        <v>10</v>
      </c>
      <c r="E25" s="4" t="n">
        <v>0.3</v>
      </c>
      <c r="F25" s="4" t="n">
        <v>2</v>
      </c>
      <c r="G25" s="4" t="n">
        <v>0</v>
      </c>
      <c r="H25" s="4" t="n">
        <v>0.3</v>
      </c>
      <c r="I25" s="4" t="n">
        <v>1</v>
      </c>
      <c r="J25" s="3" t="n">
        <v>100</v>
      </c>
      <c r="K25" s="3" t="n">
        <v>40</v>
      </c>
      <c r="L25" s="3" t="n">
        <v>5</v>
      </c>
      <c r="M25" s="4" t="n">
        <v>0.1</v>
      </c>
      <c r="N25" s="2" t="s">
        <v>54</v>
      </c>
    </row>
    <row r="26" customFormat="false" ht="15" hidden="false" customHeight="false" outlineLevel="0" collapsed="false">
      <c r="A26" s="5" t="s">
        <v>39</v>
      </c>
      <c r="B26" s="5" t="s">
        <v>21</v>
      </c>
      <c r="C26" s="5"/>
      <c r="D26" s="6" t="n">
        <f aca="false">SUM(D21:D25)</f>
        <v>558</v>
      </c>
      <c r="E26" s="7" t="n">
        <f aca="false">SUM(E21:E25)</f>
        <v>56.8</v>
      </c>
      <c r="F26" s="7" t="n">
        <f aca="false">SUM(F21:F25)</f>
        <v>32</v>
      </c>
      <c r="G26" s="7" t="n">
        <f aca="false">SUM(G21:G25)</f>
        <v>21.4</v>
      </c>
      <c r="H26" s="7" t="n">
        <f aca="false">SUM(H21:H25)</f>
        <v>5.1</v>
      </c>
      <c r="I26" s="7" t="n">
        <f aca="false">SUM(I21:I25)</f>
        <v>5</v>
      </c>
      <c r="J26" s="6" t="n">
        <f aca="false">SUM(J21:J25)</f>
        <v>260</v>
      </c>
      <c r="K26" s="6" t="n">
        <f aca="false">SUM(K21:K25)</f>
        <v>955</v>
      </c>
      <c r="L26" s="6" t="n">
        <f aca="false">SUM(L21:L25)</f>
        <v>87</v>
      </c>
      <c r="M26" s="7" t="n">
        <f aca="false">SUM(M21:M25)</f>
        <v>3.1</v>
      </c>
      <c r="N26" s="5"/>
    </row>
    <row r="28" customFormat="false" ht="15" hidden="false" customHeight="false" outlineLevel="0" collapsed="false">
      <c r="A28" s="2" t="s">
        <v>55</v>
      </c>
      <c r="B28" s="2" t="s">
        <v>56</v>
      </c>
      <c r="C28" s="2" t="s">
        <v>57</v>
      </c>
      <c r="D28" s="3" t="n">
        <v>120</v>
      </c>
      <c r="E28" s="4" t="n">
        <v>25</v>
      </c>
      <c r="F28" s="4" t="n">
        <v>3</v>
      </c>
      <c r="G28" s="4" t="n">
        <v>1.5</v>
      </c>
      <c r="H28" s="4" t="n">
        <v>0</v>
      </c>
      <c r="I28" s="4" t="n">
        <v>2</v>
      </c>
      <c r="J28" s="3" t="n">
        <v>60</v>
      </c>
      <c r="K28" s="3" t="n">
        <v>160</v>
      </c>
      <c r="L28" s="3" t="n">
        <v>150</v>
      </c>
      <c r="M28" s="4" t="n">
        <v>0.3</v>
      </c>
      <c r="N28" s="2" t="s">
        <v>58</v>
      </c>
    </row>
    <row r="29" customFormat="false" ht="15" hidden="false" customHeight="false" outlineLevel="0" collapsed="false">
      <c r="A29" s="2" t="s">
        <v>55</v>
      </c>
      <c r="B29" s="2" t="s">
        <v>59</v>
      </c>
      <c r="C29" s="2" t="s">
        <v>60</v>
      </c>
      <c r="D29" s="3" t="n">
        <v>95</v>
      </c>
      <c r="E29" s="4" t="n">
        <v>0.5</v>
      </c>
      <c r="F29" s="4" t="n">
        <v>25</v>
      </c>
      <c r="G29" s="4" t="n">
        <v>0.3</v>
      </c>
      <c r="H29" s="4" t="n">
        <v>4</v>
      </c>
      <c r="I29" s="4" t="n">
        <v>19</v>
      </c>
      <c r="J29" s="3" t="n">
        <v>2</v>
      </c>
      <c r="K29" s="3" t="n">
        <v>195</v>
      </c>
      <c r="L29" s="3" t="n">
        <v>11</v>
      </c>
      <c r="M29" s="4" t="n">
        <v>0.2</v>
      </c>
      <c r="N29" s="2" t="s">
        <v>61</v>
      </c>
    </row>
    <row r="30" customFormat="false" ht="15" hidden="false" customHeight="false" outlineLevel="0" collapsed="false">
      <c r="A30" s="5" t="s">
        <v>55</v>
      </c>
      <c r="B30" s="5" t="s">
        <v>21</v>
      </c>
      <c r="C30" s="5"/>
      <c r="D30" s="6" t="n">
        <f aca="false">SUM(D28:D29)</f>
        <v>215</v>
      </c>
      <c r="E30" s="7" t="n">
        <f aca="false">SUM(E28:E29)</f>
        <v>25.5</v>
      </c>
      <c r="F30" s="7" t="n">
        <f aca="false">SUM(F28:F29)</f>
        <v>28</v>
      </c>
      <c r="G30" s="7" t="n">
        <f aca="false">SUM(G28:G29)</f>
        <v>1.8</v>
      </c>
      <c r="H30" s="7" t="n">
        <f aca="false">SUM(H28:H29)</f>
        <v>4</v>
      </c>
      <c r="I30" s="7" t="n">
        <f aca="false">SUM(I28:I29)</f>
        <v>21</v>
      </c>
      <c r="J30" s="6" t="n">
        <f aca="false">SUM(J28:J29)</f>
        <v>62</v>
      </c>
      <c r="K30" s="6" t="n">
        <f aca="false">SUM(K28:K29)</f>
        <v>355</v>
      </c>
      <c r="L30" s="6" t="n">
        <f aca="false">SUM(L28:L29)</f>
        <v>161</v>
      </c>
      <c r="M30" s="7" t="n">
        <f aca="false">SUM(M28:M29)</f>
        <v>0.5</v>
      </c>
      <c r="N30" s="5"/>
    </row>
    <row r="32" customFormat="false" ht="15" hidden="false" customHeight="false" outlineLevel="0" collapsed="false">
      <c r="A32" s="2" t="s">
        <v>62</v>
      </c>
      <c r="B32" s="2" t="s">
        <v>63</v>
      </c>
      <c r="C32" s="2" t="s">
        <v>64</v>
      </c>
      <c r="D32" s="3" t="n">
        <v>180</v>
      </c>
      <c r="E32" s="4" t="n">
        <v>24</v>
      </c>
      <c r="F32" s="4" t="n">
        <v>8</v>
      </c>
      <c r="G32" s="4" t="n">
        <v>5</v>
      </c>
      <c r="H32" s="4" t="n">
        <v>0</v>
      </c>
      <c r="I32" s="4" t="n">
        <v>7</v>
      </c>
      <c r="J32" s="3" t="n">
        <v>700</v>
      </c>
      <c r="K32" s="3" t="n">
        <v>200</v>
      </c>
      <c r="L32" s="3" t="n">
        <v>140</v>
      </c>
      <c r="M32" s="4" t="n">
        <v>0.1</v>
      </c>
      <c r="N32" s="2" t="s">
        <v>65</v>
      </c>
    </row>
    <row r="33" customFormat="false" ht="15" hidden="false" customHeight="false" outlineLevel="0" collapsed="false">
      <c r="A33" s="2" t="s">
        <v>62</v>
      </c>
      <c r="B33" s="2" t="s">
        <v>66</v>
      </c>
      <c r="C33" s="2" t="s">
        <v>67</v>
      </c>
      <c r="D33" s="3" t="n">
        <v>35</v>
      </c>
      <c r="E33" s="4" t="n">
        <v>0.5</v>
      </c>
      <c r="F33" s="4" t="n">
        <v>9</v>
      </c>
      <c r="G33" s="4" t="n">
        <v>0.3</v>
      </c>
      <c r="H33" s="4" t="n">
        <v>2</v>
      </c>
      <c r="I33" s="4" t="n">
        <v>6</v>
      </c>
      <c r="J33" s="3" t="n">
        <v>1</v>
      </c>
      <c r="K33" s="3" t="n">
        <v>75</v>
      </c>
      <c r="L33" s="3" t="n">
        <v>10</v>
      </c>
      <c r="M33" s="4" t="n">
        <v>0.3</v>
      </c>
      <c r="N33" s="2" t="s">
        <v>68</v>
      </c>
    </row>
    <row r="34" customFormat="false" ht="15" hidden="false" customHeight="false" outlineLevel="0" collapsed="false">
      <c r="A34" s="5" t="s">
        <v>62</v>
      </c>
      <c r="B34" s="5" t="s">
        <v>21</v>
      </c>
      <c r="C34" s="5"/>
      <c r="D34" s="6" t="n">
        <f aca="false">SUM(D32:D33)</f>
        <v>215</v>
      </c>
      <c r="E34" s="7" t="n">
        <f aca="false">SUM(E32:E33)</f>
        <v>24.5</v>
      </c>
      <c r="F34" s="7" t="n">
        <f aca="false">SUM(F32:F33)</f>
        <v>17</v>
      </c>
      <c r="G34" s="7" t="n">
        <f aca="false">SUM(G32:G33)</f>
        <v>5.3</v>
      </c>
      <c r="H34" s="7" t="n">
        <f aca="false">SUM(H32:H33)</f>
        <v>2</v>
      </c>
      <c r="I34" s="7" t="n">
        <f aca="false">SUM(I32:I33)</f>
        <v>13</v>
      </c>
      <c r="J34" s="6" t="n">
        <f aca="false">SUM(J32:J33)</f>
        <v>701</v>
      </c>
      <c r="K34" s="6" t="n">
        <f aca="false">SUM(K32:K33)</f>
        <v>275</v>
      </c>
      <c r="L34" s="6" t="n">
        <f aca="false">SUM(L32:L33)</f>
        <v>150</v>
      </c>
      <c r="M34" s="7" t="n">
        <f aca="false">SUM(M32:M33)</f>
        <v>0.4</v>
      </c>
      <c r="N34" s="5"/>
    </row>
    <row r="36" customFormat="false" ht="15" hidden="false" customHeight="false" outlineLevel="0" collapsed="false">
      <c r="A36" s="2" t="s">
        <v>69</v>
      </c>
      <c r="B36" s="2" t="s">
        <v>70</v>
      </c>
      <c r="C36" s="2" t="s">
        <v>71</v>
      </c>
      <c r="D36" s="3" t="n">
        <v>380</v>
      </c>
      <c r="E36" s="4" t="n">
        <v>55</v>
      </c>
      <c r="F36" s="4" t="n">
        <v>0</v>
      </c>
      <c r="G36" s="4" t="n">
        <v>16</v>
      </c>
      <c r="H36" s="4" t="n">
        <v>0</v>
      </c>
      <c r="I36" s="4" t="n">
        <v>0</v>
      </c>
      <c r="J36" s="3" t="n">
        <v>110</v>
      </c>
      <c r="K36" s="3" t="n">
        <v>530</v>
      </c>
      <c r="L36" s="3" t="n">
        <v>20</v>
      </c>
      <c r="M36" s="4" t="n">
        <v>3.5</v>
      </c>
      <c r="N36" s="2" t="s">
        <v>72</v>
      </c>
    </row>
    <row r="37" customFormat="false" ht="15" hidden="false" customHeight="false" outlineLevel="0" collapsed="false">
      <c r="A37" s="2" t="s">
        <v>69</v>
      </c>
      <c r="B37" s="2" t="s">
        <v>73</v>
      </c>
      <c r="C37" s="2" t="s">
        <v>74</v>
      </c>
      <c r="D37" s="3" t="n">
        <v>130</v>
      </c>
      <c r="E37" s="4" t="n">
        <v>3</v>
      </c>
      <c r="F37" s="4" t="n">
        <v>30</v>
      </c>
      <c r="G37" s="4" t="n">
        <v>0.2</v>
      </c>
      <c r="H37" s="4" t="n">
        <v>3</v>
      </c>
      <c r="I37" s="4" t="n">
        <v>1.5</v>
      </c>
      <c r="J37" s="3" t="n">
        <v>10</v>
      </c>
      <c r="K37" s="3" t="n">
        <v>515</v>
      </c>
      <c r="L37" s="3" t="n">
        <v>15</v>
      </c>
      <c r="M37" s="4" t="n">
        <v>1.1</v>
      </c>
      <c r="N37" s="2" t="s">
        <v>75</v>
      </c>
    </row>
    <row r="38" customFormat="false" ht="15" hidden="false" customHeight="false" outlineLevel="0" collapsed="false">
      <c r="A38" s="2" t="s">
        <v>69</v>
      </c>
      <c r="B38" s="2" t="s">
        <v>76</v>
      </c>
      <c r="C38" s="2" t="s">
        <v>77</v>
      </c>
      <c r="D38" s="3" t="n">
        <v>90</v>
      </c>
      <c r="E38" s="4" t="n">
        <v>4</v>
      </c>
      <c r="F38" s="4" t="n">
        <v>10</v>
      </c>
      <c r="G38" s="4" t="n">
        <v>5</v>
      </c>
      <c r="H38" s="4" t="n">
        <v>4</v>
      </c>
      <c r="I38" s="4" t="n">
        <v>3</v>
      </c>
      <c r="J38" s="3" t="n">
        <v>30</v>
      </c>
      <c r="K38" s="3" t="n">
        <v>300</v>
      </c>
      <c r="L38" s="3" t="n">
        <v>60</v>
      </c>
      <c r="M38" s="4" t="n">
        <v>1</v>
      </c>
      <c r="N38" s="2" t="s">
        <v>78</v>
      </c>
    </row>
    <row r="39" customFormat="false" ht="15" hidden="false" customHeight="false" outlineLevel="0" collapsed="false">
      <c r="A39" s="5" t="s">
        <v>69</v>
      </c>
      <c r="B39" s="5" t="s">
        <v>21</v>
      </c>
      <c r="C39" s="5"/>
      <c r="D39" s="6" t="n">
        <f aca="false">SUM(D36:D38)</f>
        <v>600</v>
      </c>
      <c r="E39" s="7" t="n">
        <f aca="false">SUM(E36:E38)</f>
        <v>62</v>
      </c>
      <c r="F39" s="7" t="n">
        <f aca="false">SUM(F36:F38)</f>
        <v>40</v>
      </c>
      <c r="G39" s="7" t="n">
        <f aca="false">SUM(G36:G38)</f>
        <v>21.2</v>
      </c>
      <c r="H39" s="7" t="n">
        <f aca="false">SUM(H36:H38)</f>
        <v>7</v>
      </c>
      <c r="I39" s="7" t="n">
        <f aca="false">SUM(I36:I38)</f>
        <v>4.5</v>
      </c>
      <c r="J39" s="6" t="n">
        <f aca="false">SUM(J36:J38)</f>
        <v>150</v>
      </c>
      <c r="K39" s="6" t="n">
        <f aca="false">SUM(K36:K38)</f>
        <v>1345</v>
      </c>
      <c r="L39" s="6" t="n">
        <f aca="false">SUM(L36:L38)</f>
        <v>95</v>
      </c>
      <c r="M39" s="7" t="n">
        <f aca="false">SUM(M36:M38)</f>
        <v>5.6</v>
      </c>
      <c r="N39" s="5"/>
    </row>
    <row r="41" customFormat="false" ht="15" hidden="false" customHeight="false" outlineLevel="0" collapsed="false">
      <c r="A41" s="2" t="s">
        <v>79</v>
      </c>
      <c r="B41" s="2" t="s">
        <v>80</v>
      </c>
      <c r="C41" s="2" t="s">
        <v>41</v>
      </c>
      <c r="D41" s="3" t="n">
        <v>350</v>
      </c>
      <c r="E41" s="4" t="n">
        <v>40</v>
      </c>
      <c r="F41" s="4" t="n">
        <v>0</v>
      </c>
      <c r="G41" s="4" t="n">
        <v>20</v>
      </c>
      <c r="H41" s="4" t="n">
        <v>0</v>
      </c>
      <c r="I41" s="4" t="n">
        <v>0</v>
      </c>
      <c r="J41" s="3" t="n">
        <v>100</v>
      </c>
      <c r="K41" s="3" t="n">
        <v>700</v>
      </c>
      <c r="L41" s="3" t="n">
        <v>18</v>
      </c>
      <c r="M41" s="4" t="n">
        <v>0.8</v>
      </c>
      <c r="N41" s="2" t="s">
        <v>81</v>
      </c>
    </row>
    <row r="42" customFormat="false" ht="15" hidden="false" customHeight="false" outlineLevel="0" collapsed="false">
      <c r="A42" s="2" t="s">
        <v>79</v>
      </c>
      <c r="B42" s="2" t="s">
        <v>46</v>
      </c>
      <c r="C42" s="2" t="s">
        <v>82</v>
      </c>
      <c r="D42" s="3" t="n">
        <v>160</v>
      </c>
      <c r="E42" s="4" t="n">
        <v>3.5</v>
      </c>
      <c r="F42" s="4" t="n">
        <v>33</v>
      </c>
      <c r="G42" s="4" t="n">
        <v>1.3</v>
      </c>
      <c r="H42" s="4" t="n">
        <v>2.5</v>
      </c>
      <c r="I42" s="4" t="n">
        <v>0</v>
      </c>
      <c r="J42" s="3" t="n">
        <v>8</v>
      </c>
      <c r="K42" s="3" t="n">
        <v>110</v>
      </c>
      <c r="L42" s="3" t="n">
        <v>15</v>
      </c>
      <c r="M42" s="4" t="n">
        <v>0.7</v>
      </c>
      <c r="N42" s="2" t="s">
        <v>83</v>
      </c>
    </row>
    <row r="43" customFormat="false" ht="15" hidden="false" customHeight="false" outlineLevel="0" collapsed="false">
      <c r="A43" s="2" t="s">
        <v>79</v>
      </c>
      <c r="B43" s="2" t="s">
        <v>76</v>
      </c>
      <c r="C43" s="2" t="s">
        <v>77</v>
      </c>
      <c r="D43" s="3" t="n">
        <v>90</v>
      </c>
      <c r="E43" s="4" t="n">
        <v>4</v>
      </c>
      <c r="F43" s="4" t="n">
        <v>10</v>
      </c>
      <c r="G43" s="4" t="n">
        <v>5</v>
      </c>
      <c r="H43" s="4" t="n">
        <v>4</v>
      </c>
      <c r="I43" s="4" t="n">
        <v>3</v>
      </c>
      <c r="J43" s="3" t="n">
        <v>30</v>
      </c>
      <c r="K43" s="3" t="n">
        <v>300</v>
      </c>
      <c r="L43" s="3" t="n">
        <v>60</v>
      </c>
      <c r="M43" s="4" t="n">
        <v>1</v>
      </c>
      <c r="N43" s="2" t="s">
        <v>84</v>
      </c>
    </row>
    <row r="44" customFormat="false" ht="15" hidden="false" customHeight="false" outlineLevel="0" collapsed="false">
      <c r="A44" s="5" t="s">
        <v>79</v>
      </c>
      <c r="B44" s="5" t="s">
        <v>21</v>
      </c>
      <c r="C44" s="5"/>
      <c r="D44" s="6" t="n">
        <f aca="false">SUM(D41:D43)</f>
        <v>600</v>
      </c>
      <c r="E44" s="7" t="n">
        <f aca="false">SUM(E41:E43)</f>
        <v>47.5</v>
      </c>
      <c r="F44" s="7" t="n">
        <f aca="false">SUM(F41:F43)</f>
        <v>43</v>
      </c>
      <c r="G44" s="7" t="n">
        <f aca="false">SUM(G41:G43)</f>
        <v>26.3</v>
      </c>
      <c r="H44" s="7" t="n">
        <f aca="false">SUM(H41:H43)</f>
        <v>6.5</v>
      </c>
      <c r="I44" s="7" t="n">
        <f aca="false">SUM(I41:I43)</f>
        <v>3</v>
      </c>
      <c r="J44" s="6" t="n">
        <f aca="false">SUM(J41:J43)</f>
        <v>138</v>
      </c>
      <c r="K44" s="6" t="n">
        <f aca="false">SUM(K41:K43)</f>
        <v>1110</v>
      </c>
      <c r="L44" s="6" t="n">
        <f aca="false">SUM(L41:L43)</f>
        <v>93</v>
      </c>
      <c r="M44" s="7" t="n">
        <f aca="false">SUM(M41:M43)</f>
        <v>2.5</v>
      </c>
      <c r="N44" s="5"/>
    </row>
    <row r="46" customFormat="false" ht="15" hidden="false" customHeight="false" outlineLevel="0" collapsed="false">
      <c r="A46" s="2" t="s">
        <v>85</v>
      </c>
      <c r="B46" s="2" t="s">
        <v>86</v>
      </c>
      <c r="C46" s="2" t="s">
        <v>41</v>
      </c>
      <c r="D46" s="3" t="n">
        <v>280</v>
      </c>
      <c r="E46" s="4" t="n">
        <v>52</v>
      </c>
      <c r="F46" s="4" t="n">
        <v>0</v>
      </c>
      <c r="G46" s="4" t="n">
        <v>6</v>
      </c>
      <c r="H46" s="4" t="n">
        <v>0</v>
      </c>
      <c r="I46" s="4" t="n">
        <v>0</v>
      </c>
      <c r="J46" s="3" t="n">
        <v>125</v>
      </c>
      <c r="K46" s="3" t="n">
        <v>440</v>
      </c>
      <c r="L46" s="3" t="n">
        <v>12</v>
      </c>
      <c r="M46" s="4" t="n">
        <v>1</v>
      </c>
      <c r="N46" s="2" t="s">
        <v>87</v>
      </c>
    </row>
    <row r="47" customFormat="false" ht="15" hidden="false" customHeight="false" outlineLevel="0" collapsed="false">
      <c r="A47" s="2" t="s">
        <v>85</v>
      </c>
      <c r="B47" s="2" t="s">
        <v>88</v>
      </c>
      <c r="C47" s="2" t="s">
        <v>44</v>
      </c>
      <c r="D47" s="3" t="n">
        <v>30</v>
      </c>
      <c r="E47" s="4" t="n">
        <v>2</v>
      </c>
      <c r="F47" s="4" t="n">
        <v>6</v>
      </c>
      <c r="G47" s="4" t="n">
        <v>0.3</v>
      </c>
      <c r="H47" s="4" t="n">
        <v>3</v>
      </c>
      <c r="I47" s="4" t="n">
        <v>3</v>
      </c>
      <c r="J47" s="3" t="n">
        <v>25</v>
      </c>
      <c r="K47" s="3" t="n">
        <v>350</v>
      </c>
      <c r="L47" s="3" t="n">
        <v>50</v>
      </c>
      <c r="M47" s="4" t="n">
        <v>1.2</v>
      </c>
      <c r="N47" s="2" t="s">
        <v>89</v>
      </c>
    </row>
    <row r="48" customFormat="false" ht="15" hidden="false" customHeight="false" outlineLevel="0" collapsed="false">
      <c r="A48" s="2" t="s">
        <v>85</v>
      </c>
      <c r="B48" s="2" t="s">
        <v>90</v>
      </c>
      <c r="C48" s="2" t="s">
        <v>91</v>
      </c>
      <c r="D48" s="3" t="n">
        <v>55</v>
      </c>
      <c r="E48" s="4" t="n">
        <v>3.5</v>
      </c>
      <c r="F48" s="4" t="n">
        <v>10</v>
      </c>
      <c r="G48" s="4" t="n">
        <v>0.2</v>
      </c>
      <c r="H48" s="4" t="n">
        <v>4</v>
      </c>
      <c r="I48" s="4" t="n">
        <v>0</v>
      </c>
      <c r="J48" s="3" t="n">
        <v>95</v>
      </c>
      <c r="K48" s="3" t="n">
        <v>170</v>
      </c>
      <c r="L48" s="3" t="n">
        <v>15</v>
      </c>
      <c r="M48" s="4" t="n">
        <v>0.9</v>
      </c>
      <c r="N48" s="2" t="s">
        <v>92</v>
      </c>
    </row>
    <row r="49" customFormat="false" ht="15" hidden="false" customHeight="false" outlineLevel="0" collapsed="false">
      <c r="A49" s="2" t="s">
        <v>85</v>
      </c>
      <c r="B49" s="2" t="s">
        <v>93</v>
      </c>
      <c r="C49" s="2" t="s">
        <v>94</v>
      </c>
      <c r="D49" s="3" t="n">
        <v>35</v>
      </c>
      <c r="E49" s="4" t="n">
        <v>1</v>
      </c>
      <c r="F49" s="4" t="n">
        <v>8</v>
      </c>
      <c r="G49" s="4" t="n">
        <v>0.5</v>
      </c>
      <c r="H49" s="4" t="n">
        <v>1</v>
      </c>
      <c r="I49" s="4" t="n">
        <v>2</v>
      </c>
      <c r="J49" s="3" t="n">
        <v>5</v>
      </c>
      <c r="K49" s="3" t="n">
        <v>60</v>
      </c>
      <c r="L49" s="3" t="n">
        <v>1</v>
      </c>
      <c r="M49" s="4" t="n">
        <v>0.2</v>
      </c>
      <c r="N49" s="2" t="s">
        <v>54</v>
      </c>
    </row>
    <row r="50" customFormat="false" ht="15" hidden="false" customHeight="false" outlineLevel="0" collapsed="false">
      <c r="A50" s="2" t="s">
        <v>85</v>
      </c>
      <c r="B50" s="2" t="s">
        <v>18</v>
      </c>
      <c r="C50" s="2" t="s">
        <v>95</v>
      </c>
      <c r="D50" s="3" t="n">
        <v>60</v>
      </c>
      <c r="E50" s="4" t="n">
        <v>0.75</v>
      </c>
      <c r="F50" s="4" t="n">
        <v>3</v>
      </c>
      <c r="G50" s="4" t="n">
        <v>5.5</v>
      </c>
      <c r="H50" s="4" t="n">
        <v>2.5</v>
      </c>
      <c r="I50" s="4" t="n">
        <v>0.3</v>
      </c>
      <c r="J50" s="3" t="n">
        <v>4</v>
      </c>
      <c r="K50" s="3" t="n">
        <v>180</v>
      </c>
      <c r="L50" s="3" t="n">
        <v>5</v>
      </c>
      <c r="M50" s="4" t="n">
        <v>0.2</v>
      </c>
      <c r="N50" s="2" t="s">
        <v>96</v>
      </c>
    </row>
    <row r="51" customFormat="false" ht="15" hidden="false" customHeight="false" outlineLevel="0" collapsed="false">
      <c r="A51" s="2" t="s">
        <v>85</v>
      </c>
      <c r="B51" s="2" t="s">
        <v>97</v>
      </c>
      <c r="C51" s="2" t="s">
        <v>98</v>
      </c>
      <c r="D51" s="3" t="n">
        <v>120</v>
      </c>
      <c r="E51" s="4" t="n">
        <v>0</v>
      </c>
      <c r="F51" s="4" t="n">
        <v>2</v>
      </c>
      <c r="G51" s="4" t="n">
        <v>13</v>
      </c>
      <c r="H51" s="4" t="n">
        <v>0</v>
      </c>
      <c r="I51" s="4" t="n">
        <v>1</v>
      </c>
      <c r="J51" s="3" t="n">
        <v>200</v>
      </c>
      <c r="K51" s="3" t="n">
        <v>20</v>
      </c>
      <c r="L51" s="3" t="n">
        <v>2</v>
      </c>
      <c r="M51" s="4" t="n">
        <v>0.1</v>
      </c>
      <c r="N51" s="2" t="s">
        <v>99</v>
      </c>
    </row>
    <row r="52" customFormat="false" ht="15" hidden="false" customHeight="false" outlineLevel="0" collapsed="false">
      <c r="A52" s="2" t="s">
        <v>85</v>
      </c>
      <c r="B52" s="2" t="s">
        <v>100</v>
      </c>
      <c r="C52" s="2" t="s">
        <v>98</v>
      </c>
      <c r="D52" s="3" t="n">
        <v>10</v>
      </c>
      <c r="E52" s="4" t="n">
        <v>0.3</v>
      </c>
      <c r="F52" s="4" t="n">
        <v>2</v>
      </c>
      <c r="G52" s="4" t="n">
        <v>0</v>
      </c>
      <c r="H52" s="4" t="n">
        <v>0.5</v>
      </c>
      <c r="I52" s="4" t="n">
        <v>1</v>
      </c>
      <c r="J52" s="3" t="n">
        <v>150</v>
      </c>
      <c r="K52" s="3" t="n">
        <v>50</v>
      </c>
      <c r="L52" s="3" t="n">
        <v>5</v>
      </c>
      <c r="M52" s="4" t="n">
        <v>0.1</v>
      </c>
      <c r="N52" s="2" t="s">
        <v>27</v>
      </c>
    </row>
    <row r="53" customFormat="false" ht="15" hidden="false" customHeight="false" outlineLevel="0" collapsed="false">
      <c r="A53" s="5" t="s">
        <v>85</v>
      </c>
      <c r="B53" s="5" t="s">
        <v>21</v>
      </c>
      <c r="C53" s="5"/>
      <c r="D53" s="6" t="n">
        <f aca="false">SUM(D46:D52)</f>
        <v>590</v>
      </c>
      <c r="E53" s="7" t="n">
        <f aca="false">SUM(E46:E52)</f>
        <v>59.55</v>
      </c>
      <c r="F53" s="7" t="n">
        <f aca="false">SUM(F46:F52)</f>
        <v>31</v>
      </c>
      <c r="G53" s="7" t="n">
        <f aca="false">SUM(G46:G52)</f>
        <v>25.5</v>
      </c>
      <c r="H53" s="7" t="n">
        <f aca="false">SUM(H46:H52)</f>
        <v>11</v>
      </c>
      <c r="I53" s="7" t="n">
        <f aca="false">SUM(I46:I52)</f>
        <v>7.3</v>
      </c>
      <c r="J53" s="6" t="n">
        <f aca="false">SUM(J46:J52)</f>
        <v>604</v>
      </c>
      <c r="K53" s="6" t="n">
        <f aca="false">SUM(K46:K52)</f>
        <v>1270</v>
      </c>
      <c r="L53" s="6" t="n">
        <f aca="false">SUM(L46:L52)</f>
        <v>90</v>
      </c>
      <c r="M53" s="7" t="n">
        <f aca="false">SUM(M46:M52)</f>
        <v>3.7</v>
      </c>
      <c r="N53" s="5"/>
    </row>
    <row r="55" customFormat="false" ht="15" hidden="false" customHeight="false" outlineLevel="0" collapsed="false">
      <c r="A55" s="2" t="s">
        <v>101</v>
      </c>
      <c r="B55" s="2" t="s">
        <v>102</v>
      </c>
      <c r="C55" s="2" t="s">
        <v>103</v>
      </c>
      <c r="D55" s="3" t="n">
        <v>325</v>
      </c>
      <c r="E55" s="4" t="n">
        <v>61</v>
      </c>
      <c r="F55" s="4" t="n">
        <v>0</v>
      </c>
      <c r="G55" s="4" t="n">
        <v>7</v>
      </c>
      <c r="H55" s="4" t="n">
        <v>0</v>
      </c>
      <c r="I55" s="4" t="n">
        <v>0</v>
      </c>
      <c r="J55" s="3" t="n">
        <v>140</v>
      </c>
      <c r="K55" s="3" t="n">
        <v>500</v>
      </c>
      <c r="L55" s="3" t="n">
        <v>15</v>
      </c>
      <c r="M55" s="4" t="n">
        <v>1.1</v>
      </c>
      <c r="N55" s="2" t="s">
        <v>104</v>
      </c>
    </row>
    <row r="56" customFormat="false" ht="15" hidden="false" customHeight="false" outlineLevel="0" collapsed="false">
      <c r="A56" s="2" t="s">
        <v>101</v>
      </c>
      <c r="B56" s="2" t="s">
        <v>105</v>
      </c>
      <c r="C56" s="2" t="s">
        <v>106</v>
      </c>
      <c r="D56" s="3" t="n">
        <v>70</v>
      </c>
      <c r="E56" s="4" t="n">
        <v>3</v>
      </c>
      <c r="F56" s="4" t="n">
        <v>14</v>
      </c>
      <c r="G56" s="4" t="n">
        <v>0.5</v>
      </c>
      <c r="H56" s="4" t="n">
        <v>4</v>
      </c>
      <c r="I56" s="4" t="n">
        <v>8</v>
      </c>
      <c r="J56" s="3" t="n">
        <v>20</v>
      </c>
      <c r="K56" s="3" t="n">
        <v>500</v>
      </c>
      <c r="L56" s="3" t="n">
        <v>30</v>
      </c>
      <c r="M56" s="4" t="n">
        <v>1</v>
      </c>
      <c r="N56" s="2" t="s">
        <v>107</v>
      </c>
    </row>
    <row r="57" customFormat="false" ht="15" hidden="false" customHeight="false" outlineLevel="0" collapsed="false">
      <c r="A57" s="2" t="s">
        <v>101</v>
      </c>
      <c r="B57" s="2" t="s">
        <v>108</v>
      </c>
      <c r="C57" s="2" t="s">
        <v>109</v>
      </c>
      <c r="D57" s="3" t="n">
        <v>120</v>
      </c>
      <c r="E57" s="4" t="n">
        <v>0</v>
      </c>
      <c r="F57" s="4" t="n">
        <v>0</v>
      </c>
      <c r="G57" s="4" t="n">
        <v>14</v>
      </c>
      <c r="H57" s="4" t="n">
        <v>0</v>
      </c>
      <c r="I57" s="4" t="n">
        <v>0</v>
      </c>
      <c r="J57" s="3" t="n">
        <v>0</v>
      </c>
      <c r="K57" s="3" t="n">
        <v>0</v>
      </c>
      <c r="L57" s="3" t="n">
        <v>0</v>
      </c>
      <c r="M57" s="4" t="n">
        <v>0</v>
      </c>
      <c r="N57" s="2" t="s">
        <v>110</v>
      </c>
    </row>
    <row r="58" customFormat="false" ht="15" hidden="false" customHeight="false" outlineLevel="0" collapsed="false">
      <c r="A58" s="5" t="s">
        <v>101</v>
      </c>
      <c r="B58" s="5" t="s">
        <v>21</v>
      </c>
      <c r="C58" s="5"/>
      <c r="D58" s="6" t="n">
        <f aca="false">SUM(D55:D57)</f>
        <v>515</v>
      </c>
      <c r="E58" s="7" t="n">
        <f aca="false">SUM(E55:E57)</f>
        <v>64</v>
      </c>
      <c r="F58" s="7" t="n">
        <f aca="false">SUM(F55:F57)</f>
        <v>14</v>
      </c>
      <c r="G58" s="7" t="n">
        <f aca="false">SUM(G55:G57)</f>
        <v>21.5</v>
      </c>
      <c r="H58" s="7" t="n">
        <f aca="false">SUM(H55:H57)</f>
        <v>4</v>
      </c>
      <c r="I58" s="7" t="n">
        <f aca="false">SUM(I55:I57)</f>
        <v>8</v>
      </c>
      <c r="J58" s="6" t="n">
        <f aca="false">SUM(J55:J57)</f>
        <v>160</v>
      </c>
      <c r="K58" s="6" t="n">
        <f aca="false">SUM(K55:K57)</f>
        <v>1000</v>
      </c>
      <c r="L58" s="6" t="n">
        <f aca="false">SUM(L55:L57)</f>
        <v>45</v>
      </c>
      <c r="M58" s="7" t="n">
        <f aca="false">SUM(M55:M57)</f>
        <v>2.1</v>
      </c>
      <c r="N58" s="5"/>
    </row>
    <row r="60" customFormat="false" ht="15" hidden="false" customHeight="false" outlineLevel="0" collapsed="false">
      <c r="A60" s="2" t="s">
        <v>111</v>
      </c>
      <c r="B60" s="2" t="s">
        <v>112</v>
      </c>
      <c r="C60" s="2" t="s">
        <v>41</v>
      </c>
      <c r="D60" s="3" t="n">
        <v>310</v>
      </c>
      <c r="E60" s="4" t="n">
        <v>46</v>
      </c>
      <c r="F60" s="4" t="n">
        <v>0</v>
      </c>
      <c r="G60" s="4" t="n">
        <v>14</v>
      </c>
      <c r="H60" s="4" t="n">
        <v>0</v>
      </c>
      <c r="I60" s="4" t="n">
        <v>0</v>
      </c>
      <c r="J60" s="3" t="n">
        <v>90</v>
      </c>
      <c r="K60" s="3" t="n">
        <v>420</v>
      </c>
      <c r="L60" s="3" t="n">
        <v>25</v>
      </c>
      <c r="M60" s="4" t="n">
        <v>3</v>
      </c>
      <c r="N60" s="2" t="s">
        <v>113</v>
      </c>
    </row>
    <row r="61" customFormat="false" ht="15" hidden="false" customHeight="false" outlineLevel="0" collapsed="false">
      <c r="A61" s="2" t="s">
        <v>111</v>
      </c>
      <c r="B61" s="2" t="s">
        <v>114</v>
      </c>
      <c r="C61" s="2" t="s">
        <v>44</v>
      </c>
      <c r="D61" s="3" t="n">
        <v>30</v>
      </c>
      <c r="E61" s="4" t="n">
        <v>2</v>
      </c>
      <c r="F61" s="4" t="n">
        <v>6</v>
      </c>
      <c r="G61" s="4" t="n">
        <v>0.2</v>
      </c>
      <c r="H61" s="4" t="n">
        <v>2</v>
      </c>
      <c r="I61" s="4" t="n">
        <v>4</v>
      </c>
      <c r="J61" s="3" t="n">
        <v>180</v>
      </c>
      <c r="K61" s="3" t="n">
        <v>300</v>
      </c>
      <c r="L61" s="3" t="n">
        <v>30</v>
      </c>
      <c r="M61" s="4" t="n">
        <v>0.8</v>
      </c>
      <c r="N61" s="2" t="s">
        <v>115</v>
      </c>
    </row>
    <row r="62" customFormat="false" ht="15" hidden="false" customHeight="false" outlineLevel="0" collapsed="false">
      <c r="A62" s="2" t="s">
        <v>111</v>
      </c>
      <c r="B62" s="2" t="s">
        <v>116</v>
      </c>
      <c r="C62" s="2" t="s">
        <v>117</v>
      </c>
      <c r="D62" s="3" t="n">
        <v>110</v>
      </c>
      <c r="E62" s="4" t="n">
        <v>7</v>
      </c>
      <c r="F62" s="4" t="n">
        <v>0.5</v>
      </c>
      <c r="G62" s="4" t="n">
        <v>9</v>
      </c>
      <c r="H62" s="4" t="n">
        <v>0</v>
      </c>
      <c r="I62" s="4" t="n">
        <v>0</v>
      </c>
      <c r="J62" s="3" t="n">
        <v>180</v>
      </c>
      <c r="K62" s="3" t="n">
        <v>28</v>
      </c>
      <c r="L62" s="3" t="n">
        <v>200</v>
      </c>
      <c r="M62" s="4" t="n">
        <v>0.1</v>
      </c>
      <c r="N62" s="2" t="s">
        <v>118</v>
      </c>
    </row>
    <row r="63" customFormat="false" ht="15" hidden="false" customHeight="false" outlineLevel="0" collapsed="false">
      <c r="A63" s="2" t="s">
        <v>111</v>
      </c>
      <c r="B63" s="2" t="s">
        <v>119</v>
      </c>
      <c r="C63" s="2" t="s">
        <v>109</v>
      </c>
      <c r="D63" s="3" t="n">
        <v>35</v>
      </c>
      <c r="E63" s="4" t="n">
        <v>0</v>
      </c>
      <c r="F63" s="4" t="n">
        <v>3</v>
      </c>
      <c r="G63" s="4" t="n">
        <v>3</v>
      </c>
      <c r="H63" s="4" t="n">
        <v>0</v>
      </c>
      <c r="I63" s="4" t="n">
        <v>2</v>
      </c>
      <c r="J63" s="3" t="n">
        <v>150</v>
      </c>
      <c r="K63" s="3" t="n">
        <v>10</v>
      </c>
      <c r="L63" s="3" t="n">
        <v>2</v>
      </c>
      <c r="M63" s="4" t="n">
        <v>0</v>
      </c>
      <c r="N63" s="2" t="s">
        <v>120</v>
      </c>
    </row>
    <row r="64" customFormat="false" ht="15" hidden="false" customHeight="false" outlineLevel="0" collapsed="false">
      <c r="A64" s="5" t="s">
        <v>111</v>
      </c>
      <c r="B64" s="5" t="s">
        <v>21</v>
      </c>
      <c r="C64" s="5"/>
      <c r="D64" s="6" t="n">
        <f aca="false">SUM(D60:D63)</f>
        <v>485</v>
      </c>
      <c r="E64" s="7" t="n">
        <f aca="false">SUM(E60:E63)</f>
        <v>55</v>
      </c>
      <c r="F64" s="7" t="n">
        <f aca="false">SUM(F60:F63)</f>
        <v>9.5</v>
      </c>
      <c r="G64" s="7" t="n">
        <f aca="false">SUM(G60:G63)</f>
        <v>26.2</v>
      </c>
      <c r="H64" s="7" t="n">
        <f aca="false">SUM(H60:H63)</f>
        <v>2</v>
      </c>
      <c r="I64" s="7" t="n">
        <f aca="false">SUM(I60:I63)</f>
        <v>6</v>
      </c>
      <c r="J64" s="6" t="n">
        <f aca="false">SUM(J60:J63)</f>
        <v>600</v>
      </c>
      <c r="K64" s="6" t="n">
        <f aca="false">SUM(K60:K63)</f>
        <v>758</v>
      </c>
      <c r="L64" s="6" t="n">
        <f aca="false">SUM(L60:L63)</f>
        <v>257</v>
      </c>
      <c r="M64" s="7" t="n">
        <f aca="false">SUM(M60:M63)</f>
        <v>3.9</v>
      </c>
      <c r="N64" s="5"/>
    </row>
    <row r="66" customFormat="false" ht="15" hidden="false" customHeight="false" outlineLevel="0" collapsed="false">
      <c r="A66" s="2" t="s">
        <v>121</v>
      </c>
      <c r="B66" s="2" t="s">
        <v>122</v>
      </c>
      <c r="C66" s="2" t="s">
        <v>41</v>
      </c>
      <c r="D66" s="3" t="n">
        <v>280</v>
      </c>
      <c r="E66" s="4" t="n">
        <v>46</v>
      </c>
      <c r="F66" s="4" t="n">
        <v>2</v>
      </c>
      <c r="G66" s="4" t="n">
        <v>11</v>
      </c>
      <c r="H66" s="4" t="n">
        <v>0</v>
      </c>
      <c r="I66" s="4" t="n">
        <v>0</v>
      </c>
      <c r="J66" s="3" t="n">
        <v>300</v>
      </c>
      <c r="K66" s="3" t="n">
        <v>400</v>
      </c>
      <c r="L66" s="3" t="n">
        <v>15</v>
      </c>
      <c r="M66" s="4" t="n">
        <v>1</v>
      </c>
      <c r="N66" s="2" t="s">
        <v>87</v>
      </c>
    </row>
    <row r="67" customFormat="false" ht="15" hidden="false" customHeight="false" outlineLevel="0" collapsed="false">
      <c r="A67" s="2" t="s">
        <v>121</v>
      </c>
      <c r="B67" s="2" t="s">
        <v>90</v>
      </c>
      <c r="C67" s="2" t="s">
        <v>91</v>
      </c>
      <c r="D67" s="3" t="n">
        <v>55</v>
      </c>
      <c r="E67" s="4" t="n">
        <v>3.5</v>
      </c>
      <c r="F67" s="4" t="n">
        <v>10</v>
      </c>
      <c r="G67" s="4" t="n">
        <v>0.2</v>
      </c>
      <c r="H67" s="4" t="n">
        <v>4</v>
      </c>
      <c r="I67" s="4" t="n">
        <v>0</v>
      </c>
      <c r="J67" s="3" t="n">
        <v>95</v>
      </c>
      <c r="K67" s="3" t="n">
        <v>170</v>
      </c>
      <c r="L67" s="3" t="n">
        <v>15</v>
      </c>
      <c r="M67" s="4" t="n">
        <v>0.9</v>
      </c>
      <c r="N67" s="2" t="s">
        <v>92</v>
      </c>
    </row>
    <row r="68" customFormat="false" ht="15" hidden="false" customHeight="false" outlineLevel="0" collapsed="false">
      <c r="A68" s="2" t="s">
        <v>121</v>
      </c>
      <c r="B68" s="2" t="s">
        <v>46</v>
      </c>
      <c r="C68" s="2" t="s">
        <v>47</v>
      </c>
      <c r="D68" s="3" t="n">
        <v>108</v>
      </c>
      <c r="E68" s="4" t="n">
        <v>2.5</v>
      </c>
      <c r="F68" s="4" t="n">
        <v>22</v>
      </c>
      <c r="G68" s="4" t="n">
        <v>0.9</v>
      </c>
      <c r="H68" s="4" t="n">
        <v>1.8</v>
      </c>
      <c r="I68" s="4" t="n">
        <v>0</v>
      </c>
      <c r="J68" s="3" t="n">
        <v>5</v>
      </c>
      <c r="K68" s="3" t="n">
        <v>75</v>
      </c>
      <c r="L68" s="3" t="n">
        <v>10</v>
      </c>
      <c r="M68" s="4" t="n">
        <v>0.5</v>
      </c>
      <c r="N68" s="2" t="s">
        <v>123</v>
      </c>
    </row>
    <row r="69" customFormat="false" ht="15" hidden="false" customHeight="false" outlineLevel="0" collapsed="false">
      <c r="A69" s="2" t="s">
        <v>121</v>
      </c>
      <c r="B69" s="2" t="s">
        <v>124</v>
      </c>
      <c r="C69" s="2" t="s">
        <v>125</v>
      </c>
      <c r="D69" s="3" t="n">
        <v>25</v>
      </c>
      <c r="E69" s="4" t="n">
        <v>1.5</v>
      </c>
      <c r="F69" s="4" t="n">
        <v>6</v>
      </c>
      <c r="G69" s="4" t="n">
        <v>0.2</v>
      </c>
      <c r="H69" s="4" t="n">
        <v>2</v>
      </c>
      <c r="I69" s="4" t="n">
        <v>3</v>
      </c>
      <c r="J69" s="3" t="n">
        <v>150</v>
      </c>
      <c r="K69" s="3" t="n">
        <v>250</v>
      </c>
      <c r="L69" s="3" t="n">
        <v>20</v>
      </c>
      <c r="M69" s="4" t="n">
        <v>0.8</v>
      </c>
      <c r="N69" s="2" t="s">
        <v>126</v>
      </c>
    </row>
    <row r="70" customFormat="false" ht="15" hidden="false" customHeight="false" outlineLevel="0" collapsed="false">
      <c r="A70" s="2" t="s">
        <v>121</v>
      </c>
      <c r="B70" s="2" t="s">
        <v>18</v>
      </c>
      <c r="C70" s="2" t="s">
        <v>95</v>
      </c>
      <c r="D70" s="3" t="n">
        <v>60</v>
      </c>
      <c r="E70" s="4" t="n">
        <v>0.75</v>
      </c>
      <c r="F70" s="4" t="n">
        <v>3</v>
      </c>
      <c r="G70" s="4" t="n">
        <v>5.5</v>
      </c>
      <c r="H70" s="4" t="n">
        <v>2.5</v>
      </c>
      <c r="I70" s="4" t="n">
        <v>0.3</v>
      </c>
      <c r="J70" s="3" t="n">
        <v>4</v>
      </c>
      <c r="K70" s="3" t="n">
        <v>180</v>
      </c>
      <c r="L70" s="3" t="n">
        <v>5</v>
      </c>
      <c r="M70" s="4" t="n">
        <v>0.2</v>
      </c>
      <c r="N70" s="2" t="s">
        <v>96</v>
      </c>
    </row>
    <row r="71" customFormat="false" ht="15" hidden="false" customHeight="false" outlineLevel="0" collapsed="false">
      <c r="A71" s="2" t="s">
        <v>121</v>
      </c>
      <c r="B71" s="2" t="s">
        <v>127</v>
      </c>
      <c r="C71" s="2" t="s">
        <v>128</v>
      </c>
      <c r="D71" s="3" t="n">
        <v>55</v>
      </c>
      <c r="E71" s="4" t="n">
        <v>3</v>
      </c>
      <c r="F71" s="4" t="n">
        <v>0.5</v>
      </c>
      <c r="G71" s="4" t="n">
        <v>4.5</v>
      </c>
      <c r="H71" s="4" t="n">
        <v>0</v>
      </c>
      <c r="I71" s="4" t="n">
        <v>0</v>
      </c>
      <c r="J71" s="3" t="n">
        <v>90</v>
      </c>
      <c r="K71" s="3" t="n">
        <v>15</v>
      </c>
      <c r="L71" s="3" t="n">
        <v>100</v>
      </c>
      <c r="M71" s="4" t="n">
        <v>0.1</v>
      </c>
      <c r="N71" s="2" t="s">
        <v>129</v>
      </c>
    </row>
    <row r="72" customFormat="false" ht="15" hidden="false" customHeight="false" outlineLevel="0" collapsed="false">
      <c r="A72" s="5" t="s">
        <v>121</v>
      </c>
      <c r="B72" s="5" t="s">
        <v>21</v>
      </c>
      <c r="C72" s="5"/>
      <c r="D72" s="6" t="n">
        <f aca="false">SUM(D66:D71)</f>
        <v>583</v>
      </c>
      <c r="E72" s="7" t="n">
        <f aca="false">SUM(E66:E71)</f>
        <v>57.25</v>
      </c>
      <c r="F72" s="7" t="n">
        <f aca="false">SUM(F66:F71)</f>
        <v>43.5</v>
      </c>
      <c r="G72" s="7" t="n">
        <f aca="false">SUM(G66:G71)</f>
        <v>22.3</v>
      </c>
      <c r="H72" s="7" t="n">
        <f aca="false">SUM(H66:H71)</f>
        <v>10.3</v>
      </c>
      <c r="I72" s="7" t="n">
        <f aca="false">SUM(I66:I71)</f>
        <v>3.3</v>
      </c>
      <c r="J72" s="6" t="n">
        <f aca="false">SUM(J66:J71)</f>
        <v>644</v>
      </c>
      <c r="K72" s="6" t="n">
        <f aca="false">SUM(K66:K71)</f>
        <v>1090</v>
      </c>
      <c r="L72" s="6" t="n">
        <f aca="false">SUM(L66:L71)</f>
        <v>165</v>
      </c>
      <c r="M72" s="7" t="n">
        <f aca="false">SUM(M66:M71)</f>
        <v>3.5</v>
      </c>
      <c r="N7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7" min="5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8" t="s">
        <v>130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customFormat="false" ht="26.85" hidden="false" customHeight="false" outlineLevel="0" collapsed="false">
      <c r="A3" s="1" t="s">
        <v>0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customFormat="false" ht="15" hidden="false" customHeight="false" outlineLevel="0" collapsed="false">
      <c r="A4" s="2" t="s">
        <v>14</v>
      </c>
      <c r="B4" s="3" t="n">
        <f aca="false">'Ingredient Breakdown'!D4</f>
        <v>336</v>
      </c>
      <c r="C4" s="4" t="n">
        <f aca="false">'Ingredient Breakdown'!E4</f>
        <v>20.4</v>
      </c>
      <c r="D4" s="4" t="n">
        <f aca="false">'Ingredient Breakdown'!F4</f>
        <v>7.2</v>
      </c>
      <c r="E4" s="4" t="n">
        <f aca="false">'Ingredient Breakdown'!G4</f>
        <v>25.4</v>
      </c>
      <c r="F4" s="4" t="n">
        <f aca="false">'Ingredient Breakdown'!H4</f>
        <v>5</v>
      </c>
      <c r="G4" s="4" t="n">
        <f aca="false">'Ingredient Breakdown'!I4</f>
        <v>1.6</v>
      </c>
      <c r="H4" s="3" t="n">
        <f aca="false">'Ingredient Breakdown'!J4</f>
        <v>220</v>
      </c>
      <c r="I4" s="3" t="n">
        <f aca="false">'Ingredient Breakdown'!K4</f>
        <v>567</v>
      </c>
      <c r="J4" s="3" t="n">
        <f aca="false">'Ingredient Breakdown'!L4</f>
        <v>93</v>
      </c>
      <c r="K4" s="4" t="n">
        <f aca="false">'Ingredient Breakdown'!M4</f>
        <v>2.2</v>
      </c>
      <c r="L4" s="2" t="s">
        <v>131</v>
      </c>
    </row>
    <row r="5" customFormat="false" ht="15" hidden="false" customHeight="false" outlineLevel="0" collapsed="false">
      <c r="A5" s="2" t="s">
        <v>22</v>
      </c>
      <c r="B5" s="3" t="n">
        <f aca="false">'Ingredient Breakdown'!D11</f>
        <v>426</v>
      </c>
      <c r="C5" s="4" t="n">
        <f aca="false">'Ingredient Breakdown'!E11</f>
        <v>23.4</v>
      </c>
      <c r="D5" s="4" t="n">
        <f aca="false">'Ingredient Breakdown'!F11</f>
        <v>22.2</v>
      </c>
      <c r="E5" s="4" t="n">
        <f aca="false">'Ingredient Breakdown'!G11</f>
        <v>26.9</v>
      </c>
      <c r="F5" s="4" t="n">
        <f aca="false">'Ingredient Breakdown'!H11</f>
        <v>6</v>
      </c>
      <c r="G5" s="4" t="n">
        <f aca="false">'Ingredient Breakdown'!I11</f>
        <v>4.6</v>
      </c>
      <c r="H5" s="3" t="n">
        <f aca="false">'Ingredient Breakdown'!J11</f>
        <v>560</v>
      </c>
      <c r="I5" s="3" t="n">
        <f aca="false">'Ingredient Breakdown'!K11</f>
        <v>787</v>
      </c>
      <c r="J5" s="3" t="n">
        <f aca="false">'Ingredient Breakdown'!L11</f>
        <v>156</v>
      </c>
      <c r="K5" s="4" t="n">
        <f aca="false">'Ingredient Breakdown'!M11</f>
        <v>3.2</v>
      </c>
      <c r="L5" s="2" t="s">
        <v>131</v>
      </c>
    </row>
    <row r="6" customFormat="false" ht="15" hidden="false" customHeight="false" outlineLevel="0" collapsed="false">
      <c r="A6" s="2" t="s">
        <v>34</v>
      </c>
      <c r="B6" s="3" t="n">
        <f aca="false">'Ingredient Breakdown'!D19</f>
        <v>521</v>
      </c>
      <c r="C6" s="4" t="n">
        <f aca="false">'Ingredient Breakdown'!E19</f>
        <v>39.4</v>
      </c>
      <c r="D6" s="4" t="n">
        <f aca="false">'Ingredient Breakdown'!F19</f>
        <v>28.2</v>
      </c>
      <c r="E6" s="4" t="n">
        <f aca="false">'Ingredient Breakdown'!G19</f>
        <v>26.9</v>
      </c>
      <c r="F6" s="4" t="n">
        <f aca="false">'Ingredient Breakdown'!H19</f>
        <v>6</v>
      </c>
      <c r="G6" s="4" t="n">
        <f aca="false">'Ingredient Breakdown'!I19</f>
        <v>9.6</v>
      </c>
      <c r="H6" s="3" t="n">
        <f aca="false">'Ingredient Breakdown'!J19</f>
        <v>625</v>
      </c>
      <c r="I6" s="3" t="n">
        <f aca="false">'Ingredient Breakdown'!K19</f>
        <v>1007</v>
      </c>
      <c r="J6" s="3" t="n">
        <f aca="false">'Ingredient Breakdown'!L19</f>
        <v>326</v>
      </c>
      <c r="K6" s="4" t="n">
        <f aca="false">'Ingredient Breakdown'!M19</f>
        <v>3.3</v>
      </c>
      <c r="L6" s="2" t="s">
        <v>132</v>
      </c>
    </row>
    <row r="7" customFormat="false" ht="15" hidden="false" customHeight="false" outlineLevel="0" collapsed="false">
      <c r="A7" s="2" t="s">
        <v>39</v>
      </c>
      <c r="B7" s="3" t="n">
        <f aca="false">'Ingredient Breakdown'!D26</f>
        <v>558</v>
      </c>
      <c r="C7" s="4" t="n">
        <f aca="false">'Ingredient Breakdown'!E26</f>
        <v>56.8</v>
      </c>
      <c r="D7" s="4" t="n">
        <f aca="false">'Ingredient Breakdown'!F26</f>
        <v>32</v>
      </c>
      <c r="E7" s="4" t="n">
        <f aca="false">'Ingredient Breakdown'!G26</f>
        <v>21.4</v>
      </c>
      <c r="F7" s="4" t="n">
        <f aca="false">'Ingredient Breakdown'!H26</f>
        <v>5.1</v>
      </c>
      <c r="G7" s="4" t="n">
        <f aca="false">'Ingredient Breakdown'!I26</f>
        <v>5</v>
      </c>
      <c r="H7" s="3" t="n">
        <f aca="false">'Ingredient Breakdown'!J26</f>
        <v>260</v>
      </c>
      <c r="I7" s="3" t="n">
        <f aca="false">'Ingredient Breakdown'!K26</f>
        <v>955</v>
      </c>
      <c r="J7" s="3" t="n">
        <f aca="false">'Ingredient Breakdown'!L26</f>
        <v>87</v>
      </c>
      <c r="K7" s="4" t="n">
        <f aca="false">'Ingredient Breakdown'!M26</f>
        <v>3.1</v>
      </c>
      <c r="L7" s="2" t="s">
        <v>133</v>
      </c>
    </row>
    <row r="8" customFormat="false" ht="15" hidden="false" customHeight="false" outlineLevel="0" collapsed="false">
      <c r="A8" s="2" t="s">
        <v>55</v>
      </c>
      <c r="B8" s="3" t="n">
        <f aca="false">'Ingredient Breakdown'!D30</f>
        <v>215</v>
      </c>
      <c r="C8" s="4" t="n">
        <f aca="false">'Ingredient Breakdown'!E30</f>
        <v>25.5</v>
      </c>
      <c r="D8" s="4" t="n">
        <f aca="false">'Ingredient Breakdown'!F30</f>
        <v>28</v>
      </c>
      <c r="E8" s="4" t="n">
        <f aca="false">'Ingredient Breakdown'!G30</f>
        <v>1.8</v>
      </c>
      <c r="F8" s="4" t="n">
        <f aca="false">'Ingredient Breakdown'!H30</f>
        <v>4</v>
      </c>
      <c r="G8" s="4" t="n">
        <f aca="false">'Ingredient Breakdown'!I30</f>
        <v>21</v>
      </c>
      <c r="H8" s="3" t="n">
        <f aca="false">'Ingredient Breakdown'!J30</f>
        <v>62</v>
      </c>
      <c r="I8" s="3" t="n">
        <f aca="false">'Ingredient Breakdown'!K30</f>
        <v>355</v>
      </c>
      <c r="J8" s="3" t="n">
        <f aca="false">'Ingredient Breakdown'!L30</f>
        <v>161</v>
      </c>
      <c r="K8" s="4" t="n">
        <f aca="false">'Ingredient Breakdown'!M30</f>
        <v>0.5</v>
      </c>
      <c r="L8" s="2" t="s">
        <v>134</v>
      </c>
    </row>
    <row r="9" customFormat="false" ht="15" hidden="false" customHeight="false" outlineLevel="0" collapsed="false">
      <c r="A9" s="2" t="s">
        <v>62</v>
      </c>
      <c r="B9" s="3" t="n">
        <f aca="false">'Ingredient Breakdown'!D34</f>
        <v>215</v>
      </c>
      <c r="C9" s="4" t="n">
        <f aca="false">'Ingredient Breakdown'!E34</f>
        <v>24.5</v>
      </c>
      <c r="D9" s="4" t="n">
        <f aca="false">'Ingredient Breakdown'!F34</f>
        <v>17</v>
      </c>
      <c r="E9" s="4" t="n">
        <f aca="false">'Ingredient Breakdown'!G34</f>
        <v>5.3</v>
      </c>
      <c r="F9" s="4" t="n">
        <f aca="false">'Ingredient Breakdown'!H34</f>
        <v>2</v>
      </c>
      <c r="G9" s="4" t="n">
        <f aca="false">'Ingredient Breakdown'!I34</f>
        <v>13</v>
      </c>
      <c r="H9" s="3" t="n">
        <f aca="false">'Ingredient Breakdown'!J34</f>
        <v>701</v>
      </c>
      <c r="I9" s="3" t="n">
        <f aca="false">'Ingredient Breakdown'!K34</f>
        <v>275</v>
      </c>
      <c r="J9" s="3" t="n">
        <f aca="false">'Ingredient Breakdown'!L34</f>
        <v>150</v>
      </c>
      <c r="K9" s="4" t="n">
        <f aca="false">'Ingredient Breakdown'!M34</f>
        <v>0.4</v>
      </c>
      <c r="L9" s="2" t="s">
        <v>135</v>
      </c>
    </row>
    <row r="10" customFormat="false" ht="15" hidden="false" customHeight="false" outlineLevel="0" collapsed="false">
      <c r="A10" s="2" t="s">
        <v>69</v>
      </c>
      <c r="B10" s="3" t="n">
        <f aca="false">'Ingredient Breakdown'!D39</f>
        <v>600</v>
      </c>
      <c r="C10" s="4" t="n">
        <f aca="false">'Ingredient Breakdown'!E39</f>
        <v>62</v>
      </c>
      <c r="D10" s="4" t="n">
        <f aca="false">'Ingredient Breakdown'!F39</f>
        <v>40</v>
      </c>
      <c r="E10" s="4" t="n">
        <f aca="false">'Ingredient Breakdown'!G39</f>
        <v>21.2</v>
      </c>
      <c r="F10" s="4" t="n">
        <f aca="false">'Ingredient Breakdown'!H39</f>
        <v>7</v>
      </c>
      <c r="G10" s="4" t="n">
        <f aca="false">'Ingredient Breakdown'!I39</f>
        <v>4.5</v>
      </c>
      <c r="H10" s="3" t="n">
        <f aca="false">'Ingredient Breakdown'!J39</f>
        <v>150</v>
      </c>
      <c r="I10" s="3" t="n">
        <f aca="false">'Ingredient Breakdown'!K39</f>
        <v>1345</v>
      </c>
      <c r="J10" s="3" t="n">
        <f aca="false">'Ingredient Breakdown'!L39</f>
        <v>95</v>
      </c>
      <c r="K10" s="4" t="n">
        <f aca="false">'Ingredient Breakdown'!M39</f>
        <v>5.6</v>
      </c>
      <c r="L10" s="2" t="s">
        <v>136</v>
      </c>
    </row>
    <row r="11" customFormat="false" ht="15" hidden="false" customHeight="false" outlineLevel="0" collapsed="false">
      <c r="A11" s="2" t="s">
        <v>79</v>
      </c>
      <c r="B11" s="3" t="n">
        <f aca="false">'Ingredient Breakdown'!D44</f>
        <v>600</v>
      </c>
      <c r="C11" s="4" t="n">
        <f aca="false">'Ingredient Breakdown'!E44</f>
        <v>47.5</v>
      </c>
      <c r="D11" s="4" t="n">
        <f aca="false">'Ingredient Breakdown'!F44</f>
        <v>43</v>
      </c>
      <c r="E11" s="4" t="n">
        <f aca="false">'Ingredient Breakdown'!G44</f>
        <v>26.3</v>
      </c>
      <c r="F11" s="4" t="n">
        <f aca="false">'Ingredient Breakdown'!H44</f>
        <v>6.5</v>
      </c>
      <c r="G11" s="4" t="n">
        <f aca="false">'Ingredient Breakdown'!I44</f>
        <v>3</v>
      </c>
      <c r="H11" s="3" t="n">
        <f aca="false">'Ingredient Breakdown'!J44</f>
        <v>138</v>
      </c>
      <c r="I11" s="3" t="n">
        <f aca="false">'Ingredient Breakdown'!K44</f>
        <v>1110</v>
      </c>
      <c r="J11" s="3" t="n">
        <f aca="false">'Ingredient Breakdown'!L44</f>
        <v>93</v>
      </c>
      <c r="K11" s="4" t="n">
        <f aca="false">'Ingredient Breakdown'!M44</f>
        <v>2.5</v>
      </c>
      <c r="L11" s="2" t="s">
        <v>137</v>
      </c>
    </row>
    <row r="12" customFormat="false" ht="15" hidden="false" customHeight="false" outlineLevel="0" collapsed="false">
      <c r="A12" s="2" t="s">
        <v>85</v>
      </c>
      <c r="B12" s="3" t="n">
        <f aca="false">'Ingredient Breakdown'!D53</f>
        <v>590</v>
      </c>
      <c r="C12" s="4" t="n">
        <f aca="false">'Ingredient Breakdown'!E53</f>
        <v>59.55</v>
      </c>
      <c r="D12" s="4" t="n">
        <f aca="false">'Ingredient Breakdown'!F53</f>
        <v>31</v>
      </c>
      <c r="E12" s="4" t="n">
        <f aca="false">'Ingredient Breakdown'!G53</f>
        <v>25.5</v>
      </c>
      <c r="F12" s="4" t="n">
        <f aca="false">'Ingredient Breakdown'!H53</f>
        <v>11</v>
      </c>
      <c r="G12" s="4" t="n">
        <f aca="false">'Ingredient Breakdown'!I53</f>
        <v>7.3</v>
      </c>
      <c r="H12" s="3" t="n">
        <f aca="false">'Ingredient Breakdown'!J53</f>
        <v>604</v>
      </c>
      <c r="I12" s="3" t="n">
        <f aca="false">'Ingredient Breakdown'!K53</f>
        <v>1270</v>
      </c>
      <c r="J12" s="3" t="n">
        <f aca="false">'Ingredient Breakdown'!L53</f>
        <v>90</v>
      </c>
      <c r="K12" s="4" t="n">
        <f aca="false">'Ingredient Breakdown'!M53</f>
        <v>3.7</v>
      </c>
      <c r="L12" s="2" t="s">
        <v>138</v>
      </c>
    </row>
    <row r="13" customFormat="false" ht="15" hidden="false" customHeight="false" outlineLevel="0" collapsed="false">
      <c r="A13" s="2" t="s">
        <v>101</v>
      </c>
      <c r="B13" s="3" t="n">
        <f aca="false">'Ingredient Breakdown'!D58</f>
        <v>515</v>
      </c>
      <c r="C13" s="4" t="n">
        <f aca="false">'Ingredient Breakdown'!E58</f>
        <v>64</v>
      </c>
      <c r="D13" s="4" t="n">
        <f aca="false">'Ingredient Breakdown'!F58</f>
        <v>14</v>
      </c>
      <c r="E13" s="4" t="n">
        <f aca="false">'Ingredient Breakdown'!G58</f>
        <v>21.5</v>
      </c>
      <c r="F13" s="4" t="n">
        <f aca="false">'Ingredient Breakdown'!H58</f>
        <v>4</v>
      </c>
      <c r="G13" s="4" t="n">
        <f aca="false">'Ingredient Breakdown'!I58</f>
        <v>8</v>
      </c>
      <c r="H13" s="3" t="n">
        <f aca="false">'Ingredient Breakdown'!J58</f>
        <v>160</v>
      </c>
      <c r="I13" s="3" t="n">
        <f aca="false">'Ingredient Breakdown'!K58</f>
        <v>1000</v>
      </c>
      <c r="J13" s="3" t="n">
        <f aca="false">'Ingredient Breakdown'!L58</f>
        <v>45</v>
      </c>
      <c r="K13" s="4" t="n">
        <f aca="false">'Ingredient Breakdown'!M58</f>
        <v>2.1</v>
      </c>
      <c r="L13" s="2" t="s">
        <v>139</v>
      </c>
    </row>
    <row r="14" customFormat="false" ht="15" hidden="false" customHeight="false" outlineLevel="0" collapsed="false">
      <c r="A14" s="2" t="s">
        <v>111</v>
      </c>
      <c r="B14" s="3" t="n">
        <f aca="false">'Ingredient Breakdown'!D64</f>
        <v>485</v>
      </c>
      <c r="C14" s="4" t="n">
        <f aca="false">'Ingredient Breakdown'!E64</f>
        <v>55</v>
      </c>
      <c r="D14" s="4" t="n">
        <f aca="false">'Ingredient Breakdown'!F64</f>
        <v>9.5</v>
      </c>
      <c r="E14" s="4" t="n">
        <f aca="false">'Ingredient Breakdown'!G64</f>
        <v>26.2</v>
      </c>
      <c r="F14" s="4" t="n">
        <f aca="false">'Ingredient Breakdown'!H64</f>
        <v>2</v>
      </c>
      <c r="G14" s="4" t="n">
        <f aca="false">'Ingredient Breakdown'!I64</f>
        <v>6</v>
      </c>
      <c r="H14" s="3" t="n">
        <f aca="false">'Ingredient Breakdown'!J64</f>
        <v>600</v>
      </c>
      <c r="I14" s="3" t="n">
        <f aca="false">'Ingredient Breakdown'!K64</f>
        <v>758</v>
      </c>
      <c r="J14" s="3" t="n">
        <f aca="false">'Ingredient Breakdown'!L64</f>
        <v>257</v>
      </c>
      <c r="K14" s="4" t="n">
        <f aca="false">'Ingredient Breakdown'!M64</f>
        <v>3.9</v>
      </c>
      <c r="L14" s="2" t="s">
        <v>140</v>
      </c>
    </row>
    <row r="15" customFormat="false" ht="15" hidden="false" customHeight="false" outlineLevel="0" collapsed="false">
      <c r="A15" s="2" t="s">
        <v>121</v>
      </c>
      <c r="B15" s="3" t="n">
        <f aca="false">'Ingredient Breakdown'!D72</f>
        <v>583</v>
      </c>
      <c r="C15" s="4" t="n">
        <f aca="false">'Ingredient Breakdown'!E72</f>
        <v>57.25</v>
      </c>
      <c r="D15" s="4" t="n">
        <f aca="false">'Ingredient Breakdown'!F72</f>
        <v>43.5</v>
      </c>
      <c r="E15" s="4" t="n">
        <f aca="false">'Ingredient Breakdown'!G72</f>
        <v>22.3</v>
      </c>
      <c r="F15" s="4" t="n">
        <f aca="false">'Ingredient Breakdown'!H72</f>
        <v>10.3</v>
      </c>
      <c r="G15" s="4" t="n">
        <f aca="false">'Ingredient Breakdown'!I72</f>
        <v>3.3</v>
      </c>
      <c r="H15" s="3" t="n">
        <f aca="false">'Ingredient Breakdown'!J72</f>
        <v>644</v>
      </c>
      <c r="I15" s="3" t="n">
        <f aca="false">'Ingredient Breakdown'!K72</f>
        <v>1090</v>
      </c>
      <c r="J15" s="3" t="n">
        <f aca="false">'Ingredient Breakdown'!L72</f>
        <v>165</v>
      </c>
      <c r="K15" s="4" t="n">
        <f aca="false">'Ingredient Breakdown'!M72</f>
        <v>3.5</v>
      </c>
      <c r="L15" s="2" t="s">
        <v>141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11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8" t="s">
        <v>142</v>
      </c>
      <c r="B1" s="8"/>
      <c r="C1" s="8"/>
      <c r="D1" s="8"/>
      <c r="E1" s="8"/>
      <c r="F1" s="8"/>
      <c r="G1" s="8"/>
      <c r="H1" s="8"/>
      <c r="I1" s="8"/>
    </row>
    <row r="3" customFormat="false" ht="26.85" hidden="false" customHeight="false" outlineLevel="0" collapsed="false">
      <c r="A3" s="1" t="s">
        <v>0</v>
      </c>
      <c r="B3" s="1" t="s">
        <v>143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9</v>
      </c>
      <c r="I3" s="1" t="s">
        <v>144</v>
      </c>
    </row>
    <row r="4" customFormat="false" ht="15" hidden="false" customHeight="false" outlineLevel="0" collapsed="false">
      <c r="A4" s="9" t="s">
        <v>145</v>
      </c>
      <c r="B4" s="10"/>
      <c r="C4" s="10"/>
      <c r="D4" s="10"/>
      <c r="E4" s="10"/>
      <c r="F4" s="10"/>
      <c r="G4" s="10"/>
      <c r="H4" s="10"/>
      <c r="I4" s="10"/>
    </row>
    <row r="5" customFormat="false" ht="23.85" hidden="false" customHeight="false" outlineLevel="0" collapsed="false">
      <c r="A5" s="2" t="s">
        <v>146</v>
      </c>
      <c r="B5" s="11" t="s">
        <v>147</v>
      </c>
      <c r="C5" s="3" t="n">
        <v>600</v>
      </c>
      <c r="D5" s="4" t="n">
        <v>50</v>
      </c>
      <c r="E5" s="4" t="n">
        <v>30</v>
      </c>
      <c r="F5" s="4" t="n">
        <v>28</v>
      </c>
      <c r="G5" s="4" t="n">
        <v>5</v>
      </c>
      <c r="H5" s="3" t="n">
        <v>900</v>
      </c>
      <c r="I5" s="11" t="s">
        <v>148</v>
      </c>
    </row>
    <row r="6" customFormat="false" ht="23.85" hidden="false" customHeight="false" outlineLevel="0" collapsed="false">
      <c r="A6" s="2" t="s">
        <v>149</v>
      </c>
      <c r="B6" s="11" t="s">
        <v>150</v>
      </c>
      <c r="C6" s="3" t="n">
        <v>550</v>
      </c>
      <c r="D6" s="4" t="n">
        <v>48</v>
      </c>
      <c r="E6" s="4" t="n">
        <v>18</v>
      </c>
      <c r="F6" s="4" t="n">
        <v>30</v>
      </c>
      <c r="G6" s="4" t="n">
        <v>4</v>
      </c>
      <c r="H6" s="3" t="n">
        <v>800</v>
      </c>
      <c r="I6" s="11" t="s">
        <v>151</v>
      </c>
    </row>
    <row r="7" customFormat="false" ht="23.85" hidden="false" customHeight="false" outlineLevel="0" collapsed="false">
      <c r="A7" s="2" t="s">
        <v>152</v>
      </c>
      <c r="B7" s="11" t="s">
        <v>153</v>
      </c>
      <c r="C7" s="3" t="n">
        <v>520</v>
      </c>
      <c r="D7" s="4" t="n">
        <v>50</v>
      </c>
      <c r="E7" s="4" t="n">
        <v>22</v>
      </c>
      <c r="F7" s="4" t="n">
        <v>22</v>
      </c>
      <c r="G7" s="4" t="n">
        <v>5</v>
      </c>
      <c r="H7" s="3" t="n">
        <v>700</v>
      </c>
      <c r="I7" s="11" t="s">
        <v>154</v>
      </c>
    </row>
    <row r="8" customFormat="false" ht="15" hidden="false" customHeight="false" outlineLevel="0" collapsed="false">
      <c r="A8" s="9" t="s">
        <v>155</v>
      </c>
      <c r="B8" s="10"/>
      <c r="C8" s="10"/>
      <c r="D8" s="10"/>
      <c r="E8" s="10"/>
      <c r="F8" s="10"/>
      <c r="G8" s="10"/>
      <c r="H8" s="10"/>
      <c r="I8" s="10"/>
    </row>
    <row r="9" customFormat="false" ht="23.85" hidden="false" customHeight="false" outlineLevel="0" collapsed="false">
      <c r="A9" s="2" t="s">
        <v>156</v>
      </c>
      <c r="B9" s="11" t="s">
        <v>157</v>
      </c>
      <c r="C9" s="3" t="n">
        <v>450</v>
      </c>
      <c r="D9" s="4" t="n">
        <v>40</v>
      </c>
      <c r="E9" s="4" t="n">
        <v>20</v>
      </c>
      <c r="F9" s="4" t="n">
        <v>22</v>
      </c>
      <c r="G9" s="4" t="n">
        <v>5</v>
      </c>
      <c r="H9" s="3" t="n">
        <v>650</v>
      </c>
      <c r="I9" s="11" t="s">
        <v>158</v>
      </c>
    </row>
    <row r="10" customFormat="false" ht="23.85" hidden="false" customHeight="false" outlineLevel="0" collapsed="false">
      <c r="A10" s="2" t="s">
        <v>159</v>
      </c>
      <c r="B10" s="11" t="s">
        <v>160</v>
      </c>
      <c r="C10" s="3" t="n">
        <v>480</v>
      </c>
      <c r="D10" s="4" t="n">
        <v>38</v>
      </c>
      <c r="E10" s="4" t="n">
        <v>42</v>
      </c>
      <c r="F10" s="4" t="n">
        <v>16</v>
      </c>
      <c r="G10" s="4" t="n">
        <v>6</v>
      </c>
      <c r="H10" s="3" t="n">
        <v>750</v>
      </c>
      <c r="I10" s="11" t="s">
        <v>161</v>
      </c>
    </row>
    <row r="11" customFormat="false" ht="23.85" hidden="false" customHeight="false" outlineLevel="0" collapsed="false">
      <c r="A11" s="2" t="s">
        <v>162</v>
      </c>
      <c r="B11" s="11" t="s">
        <v>163</v>
      </c>
      <c r="C11" s="3" t="n">
        <v>350</v>
      </c>
      <c r="D11" s="4" t="n">
        <v>35</v>
      </c>
      <c r="E11" s="4" t="n">
        <v>18</v>
      </c>
      <c r="F11" s="4" t="n">
        <v>14</v>
      </c>
      <c r="G11" s="4" t="n">
        <v>4</v>
      </c>
      <c r="H11" s="3" t="n">
        <v>600</v>
      </c>
      <c r="I11" s="11" t="s">
        <v>164</v>
      </c>
    </row>
    <row r="12" customFormat="false" ht="15" hidden="false" customHeight="false" outlineLevel="0" collapsed="false">
      <c r="A12" s="9" t="s">
        <v>165</v>
      </c>
      <c r="B12" s="10"/>
      <c r="C12" s="10"/>
      <c r="D12" s="10"/>
      <c r="E12" s="10"/>
      <c r="F12" s="10"/>
      <c r="G12" s="10"/>
      <c r="H12" s="10"/>
      <c r="I12" s="10"/>
    </row>
    <row r="13" customFormat="false" ht="23.85" hidden="false" customHeight="false" outlineLevel="0" collapsed="false">
      <c r="A13" s="2" t="s">
        <v>166</v>
      </c>
      <c r="B13" s="11" t="s">
        <v>167</v>
      </c>
      <c r="C13" s="3" t="n">
        <v>520</v>
      </c>
      <c r="D13" s="4" t="n">
        <v>40</v>
      </c>
      <c r="E13" s="4" t="n">
        <v>22</v>
      </c>
      <c r="F13" s="4" t="n">
        <v>28</v>
      </c>
      <c r="G13" s="4" t="n">
        <v>6</v>
      </c>
      <c r="H13" s="3" t="n">
        <v>600</v>
      </c>
      <c r="I13" s="11" t="s">
        <v>168</v>
      </c>
    </row>
    <row r="14" customFormat="false" ht="23.85" hidden="false" customHeight="false" outlineLevel="0" collapsed="false">
      <c r="A14" s="2" t="s">
        <v>169</v>
      </c>
      <c r="B14" s="11" t="s">
        <v>170</v>
      </c>
      <c r="C14" s="3" t="n">
        <v>450</v>
      </c>
      <c r="D14" s="4" t="n">
        <v>42</v>
      </c>
      <c r="E14" s="4" t="n">
        <v>18</v>
      </c>
      <c r="F14" s="4" t="n">
        <v>22</v>
      </c>
      <c r="G14" s="4" t="n">
        <v>5</v>
      </c>
      <c r="H14" s="3" t="n">
        <v>600</v>
      </c>
      <c r="I14" s="11" t="s">
        <v>171</v>
      </c>
    </row>
    <row r="15" customFormat="false" ht="23.85" hidden="false" customHeight="false" outlineLevel="0" collapsed="false">
      <c r="A15" s="2" t="s">
        <v>172</v>
      </c>
      <c r="B15" s="11" t="s">
        <v>173</v>
      </c>
      <c r="C15" s="3" t="n">
        <v>520</v>
      </c>
      <c r="D15" s="4" t="n">
        <v>55</v>
      </c>
      <c r="E15" s="4" t="n">
        <v>25</v>
      </c>
      <c r="F15" s="4" t="n">
        <v>20</v>
      </c>
      <c r="G15" s="4" t="n">
        <v>5</v>
      </c>
      <c r="H15" s="3" t="n">
        <v>800</v>
      </c>
      <c r="I15" s="11" t="s">
        <v>174</v>
      </c>
    </row>
    <row r="16" customFormat="false" ht="15" hidden="false" customHeight="false" outlineLevel="0" collapsed="false">
      <c r="A16" s="9" t="s">
        <v>175</v>
      </c>
      <c r="B16" s="10"/>
      <c r="C16" s="10"/>
      <c r="D16" s="10"/>
      <c r="E16" s="10"/>
      <c r="F16" s="10"/>
      <c r="G16" s="10"/>
      <c r="H16" s="10"/>
      <c r="I16" s="10"/>
    </row>
    <row r="17" customFormat="false" ht="23.85" hidden="false" customHeight="false" outlineLevel="0" collapsed="false">
      <c r="A17" s="2" t="s">
        <v>176</v>
      </c>
      <c r="B17" s="11" t="s">
        <v>177</v>
      </c>
      <c r="C17" s="3" t="n">
        <v>600</v>
      </c>
      <c r="D17" s="4" t="n">
        <v>39</v>
      </c>
      <c r="E17" s="4" t="n">
        <v>40</v>
      </c>
      <c r="F17" s="4" t="n">
        <v>35</v>
      </c>
      <c r="G17" s="4" t="n">
        <v>9</v>
      </c>
      <c r="H17" s="3" t="n">
        <v>700</v>
      </c>
      <c r="I17" s="11" t="s">
        <v>178</v>
      </c>
    </row>
    <row r="18" customFormat="false" ht="15" hidden="false" customHeight="false" outlineLevel="0" collapsed="false">
      <c r="A18" s="2" t="s">
        <v>179</v>
      </c>
      <c r="B18" s="11" t="s">
        <v>180</v>
      </c>
      <c r="C18" s="3" t="n">
        <v>400</v>
      </c>
      <c r="D18" s="4" t="n">
        <v>28</v>
      </c>
      <c r="E18" s="4" t="n">
        <v>35</v>
      </c>
      <c r="F18" s="4" t="n">
        <v>14</v>
      </c>
      <c r="G18" s="4" t="n">
        <v>4</v>
      </c>
      <c r="H18" s="3" t="n">
        <v>900</v>
      </c>
      <c r="I18" s="11" t="s">
        <v>181</v>
      </c>
    </row>
    <row r="19" customFormat="false" ht="23.85" hidden="false" customHeight="false" outlineLevel="0" collapsed="false">
      <c r="A19" s="2" t="s">
        <v>182</v>
      </c>
      <c r="B19" s="11" t="s">
        <v>183</v>
      </c>
      <c r="C19" s="3" t="n">
        <v>500</v>
      </c>
      <c r="D19" s="4" t="n">
        <v>38</v>
      </c>
      <c r="E19" s="4" t="n">
        <v>18</v>
      </c>
      <c r="F19" s="4" t="n">
        <v>30</v>
      </c>
      <c r="G19" s="4" t="n">
        <v>5</v>
      </c>
      <c r="H19" s="3" t="n">
        <v>800</v>
      </c>
      <c r="I19" s="11" t="s">
        <v>184</v>
      </c>
    </row>
    <row r="20" customFormat="false" ht="15" hidden="false" customHeight="false" outlineLevel="0" collapsed="false">
      <c r="A20" s="9" t="s">
        <v>185</v>
      </c>
      <c r="B20" s="10"/>
      <c r="C20" s="10"/>
      <c r="D20" s="10"/>
      <c r="E20" s="10"/>
      <c r="F20" s="10"/>
      <c r="G20" s="10"/>
      <c r="H20" s="10"/>
      <c r="I20" s="10"/>
    </row>
    <row r="21" customFormat="false" ht="23.85" hidden="false" customHeight="false" outlineLevel="0" collapsed="false">
      <c r="A21" s="2" t="s">
        <v>186</v>
      </c>
      <c r="B21" s="11" t="s">
        <v>187</v>
      </c>
      <c r="C21" s="3" t="n">
        <v>410</v>
      </c>
      <c r="D21" s="4" t="n">
        <v>30</v>
      </c>
      <c r="E21" s="4" t="n">
        <v>11</v>
      </c>
      <c r="F21" s="4" t="n">
        <v>28</v>
      </c>
      <c r="G21" s="4" t="n">
        <v>2</v>
      </c>
      <c r="H21" s="3" t="n">
        <v>1150</v>
      </c>
      <c r="I21" s="11" t="s">
        <v>188</v>
      </c>
    </row>
    <row r="22" customFormat="false" ht="15" hidden="false" customHeight="false" outlineLevel="0" collapsed="false">
      <c r="A22" s="2" t="s">
        <v>189</v>
      </c>
      <c r="B22" s="11" t="s">
        <v>190</v>
      </c>
      <c r="C22" s="3" t="n">
        <v>580</v>
      </c>
      <c r="D22" s="4" t="n">
        <v>45</v>
      </c>
      <c r="E22" s="4" t="n">
        <v>13</v>
      </c>
      <c r="F22" s="4" t="n">
        <v>40</v>
      </c>
      <c r="G22" s="4" t="n">
        <v>2</v>
      </c>
      <c r="H22" s="3" t="n">
        <v>1500</v>
      </c>
      <c r="I22" s="11" t="s">
        <v>191</v>
      </c>
    </row>
    <row r="23" customFormat="false" ht="23.85" hidden="false" customHeight="false" outlineLevel="0" collapsed="false">
      <c r="A23" s="2" t="s">
        <v>192</v>
      </c>
      <c r="B23" s="11" t="s">
        <v>193</v>
      </c>
      <c r="C23" s="3" t="n">
        <v>350</v>
      </c>
      <c r="D23" s="4" t="n">
        <v>32</v>
      </c>
      <c r="E23" s="4" t="n">
        <v>8</v>
      </c>
      <c r="F23" s="4" t="n">
        <v>24</v>
      </c>
      <c r="G23" s="4" t="n">
        <v>2</v>
      </c>
      <c r="H23" s="3" t="n">
        <v>700</v>
      </c>
      <c r="I23" s="11" t="s">
        <v>194</v>
      </c>
    </row>
    <row r="24" customFormat="false" ht="15" hidden="false" customHeight="false" outlineLevel="0" collapsed="false">
      <c r="A24" s="9" t="s">
        <v>195</v>
      </c>
      <c r="B24" s="10"/>
      <c r="C24" s="10"/>
      <c r="D24" s="10"/>
      <c r="E24" s="10"/>
      <c r="F24" s="10"/>
      <c r="G24" s="10"/>
      <c r="H24" s="10"/>
      <c r="I24" s="10"/>
    </row>
    <row r="25" customFormat="false" ht="23.85" hidden="false" customHeight="false" outlineLevel="0" collapsed="false">
      <c r="A25" s="2" t="s">
        <v>196</v>
      </c>
      <c r="B25" s="11" t="s">
        <v>197</v>
      </c>
      <c r="C25" s="3" t="n">
        <v>360</v>
      </c>
      <c r="D25" s="4" t="n">
        <v>36</v>
      </c>
      <c r="E25" s="4" t="n">
        <v>35</v>
      </c>
      <c r="F25" s="4" t="n">
        <v>8</v>
      </c>
      <c r="G25" s="4" t="n">
        <v>4</v>
      </c>
      <c r="H25" s="3" t="n">
        <v>110</v>
      </c>
      <c r="I25" s="11" t="s">
        <v>198</v>
      </c>
    </row>
    <row r="26" customFormat="false" ht="23.85" hidden="false" customHeight="false" outlineLevel="0" collapsed="false">
      <c r="A26" s="2" t="s">
        <v>199</v>
      </c>
      <c r="B26" s="11" t="s">
        <v>200</v>
      </c>
      <c r="C26" s="3" t="n">
        <v>450</v>
      </c>
      <c r="D26" s="4" t="n">
        <v>48</v>
      </c>
      <c r="E26" s="4" t="n">
        <v>12</v>
      </c>
      <c r="F26" s="4" t="n">
        <v>22</v>
      </c>
      <c r="G26" s="4" t="n">
        <v>5</v>
      </c>
      <c r="H26" s="3" t="n">
        <v>600</v>
      </c>
      <c r="I26" s="11" t="s">
        <v>201</v>
      </c>
    </row>
    <row r="27" customFormat="false" ht="23.85" hidden="false" customHeight="false" outlineLevel="0" collapsed="false">
      <c r="A27" s="2" t="s">
        <v>202</v>
      </c>
      <c r="B27" s="11" t="s">
        <v>203</v>
      </c>
      <c r="C27" s="3" t="n">
        <v>450</v>
      </c>
      <c r="D27" s="4" t="n">
        <v>48</v>
      </c>
      <c r="E27" s="4" t="n">
        <v>40</v>
      </c>
      <c r="F27" s="4" t="n">
        <v>8</v>
      </c>
      <c r="G27" s="4" t="n">
        <v>5</v>
      </c>
      <c r="H27" s="3" t="n">
        <v>800</v>
      </c>
      <c r="I27" s="11" t="s">
        <v>204</v>
      </c>
    </row>
    <row r="28" customFormat="false" ht="15" hidden="false" customHeight="false" outlineLevel="0" collapsed="false">
      <c r="A28" s="2" t="s">
        <v>205</v>
      </c>
      <c r="B28" s="11" t="s">
        <v>206</v>
      </c>
      <c r="C28" s="3" t="n">
        <v>520</v>
      </c>
      <c r="D28" s="4" t="n">
        <v>58</v>
      </c>
      <c r="E28" s="4" t="n">
        <v>35</v>
      </c>
      <c r="F28" s="4" t="n">
        <v>14</v>
      </c>
      <c r="G28" s="4" t="n">
        <v>7</v>
      </c>
      <c r="H28" s="3" t="n">
        <v>350</v>
      </c>
      <c r="I28" s="11" t="s">
        <v>207</v>
      </c>
    </row>
    <row r="29" customFormat="false" ht="23.85" hidden="false" customHeight="false" outlineLevel="0" collapsed="false">
      <c r="A29" s="2" t="s">
        <v>208</v>
      </c>
      <c r="B29" s="11" t="s">
        <v>209</v>
      </c>
      <c r="C29" s="3" t="n">
        <v>420</v>
      </c>
      <c r="D29" s="4" t="n">
        <v>44</v>
      </c>
      <c r="E29" s="4" t="n">
        <v>8</v>
      </c>
      <c r="F29" s="4" t="n">
        <v>24</v>
      </c>
      <c r="G29" s="4" t="n">
        <v>4</v>
      </c>
      <c r="H29" s="3" t="n">
        <v>400</v>
      </c>
      <c r="I29" s="11" t="s">
        <v>210</v>
      </c>
    </row>
    <row r="30" customFormat="false" ht="15" hidden="false" customHeight="false" outlineLevel="0" collapsed="false">
      <c r="A30" s="9" t="s">
        <v>211</v>
      </c>
      <c r="B30" s="10"/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2" t="s">
        <v>212</v>
      </c>
      <c r="B31" s="11" t="s">
        <v>213</v>
      </c>
      <c r="C31" s="3" t="n">
        <v>140</v>
      </c>
      <c r="D31" s="4" t="n">
        <v>25</v>
      </c>
      <c r="E31" s="4" t="n">
        <v>5</v>
      </c>
      <c r="F31" s="4" t="n">
        <v>2</v>
      </c>
      <c r="G31" s="4" t="n">
        <v>1</v>
      </c>
      <c r="H31" s="3" t="n">
        <v>80</v>
      </c>
      <c r="I31" s="11" t="s">
        <v>214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2" t="s">
        <v>215</v>
      </c>
    </row>
    <row r="3" customFormat="false" ht="15" hidden="false" customHeight="false" outlineLevel="0" collapsed="false">
      <c r="A3" s="1" t="s">
        <v>216</v>
      </c>
      <c r="B3" s="1" t="s">
        <v>217</v>
      </c>
    </row>
    <row r="4" customFormat="false" ht="15" hidden="false" customHeight="false" outlineLevel="0" collapsed="false">
      <c r="A4" s="2" t="s">
        <v>3</v>
      </c>
      <c r="B4" s="2" t="s">
        <v>218</v>
      </c>
    </row>
    <row r="5" customFormat="false" ht="15" hidden="false" customHeight="false" outlineLevel="0" collapsed="false">
      <c r="A5" s="2" t="s">
        <v>219</v>
      </c>
      <c r="B5" s="2" t="s">
        <v>220</v>
      </c>
    </row>
    <row r="6" customFormat="false" ht="15" hidden="false" customHeight="false" outlineLevel="0" collapsed="false">
      <c r="A6" s="2" t="s">
        <v>221</v>
      </c>
      <c r="B6" s="2" t="s">
        <v>222</v>
      </c>
    </row>
    <row r="7" customFormat="false" ht="15" hidden="false" customHeight="false" outlineLevel="0" collapsed="false">
      <c r="A7" s="2" t="s">
        <v>223</v>
      </c>
      <c r="B7" s="2" t="s">
        <v>224</v>
      </c>
    </row>
    <row r="8" customFormat="false" ht="15" hidden="false" customHeight="false" outlineLevel="0" collapsed="false">
      <c r="A8" s="2" t="s">
        <v>225</v>
      </c>
      <c r="B8" s="2" t="s">
        <v>226</v>
      </c>
    </row>
    <row r="9" customFormat="false" ht="15" hidden="false" customHeight="false" outlineLevel="0" collapsed="false">
      <c r="A9" s="2" t="s">
        <v>227</v>
      </c>
      <c r="B9" s="2" t="s">
        <v>228</v>
      </c>
    </row>
    <row r="11" customFormat="false" ht="17.35" hidden="false" customHeight="false" outlineLevel="0" collapsed="false">
      <c r="A11" s="12" t="s">
        <v>229</v>
      </c>
    </row>
    <row r="12" customFormat="false" ht="26.85" hidden="false" customHeight="false" outlineLevel="0" collapsed="false">
      <c r="A12" s="1" t="s">
        <v>0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9</v>
      </c>
    </row>
    <row r="13" customFormat="false" ht="15" hidden="false" customHeight="false" outlineLevel="0" collapsed="false">
      <c r="A13" s="2" t="s">
        <v>34</v>
      </c>
      <c r="B13" s="3" t="n">
        <f aca="false">'Preset Meals'!B6</f>
        <v>521</v>
      </c>
      <c r="C13" s="4" t="n">
        <f aca="false">'Preset Meals'!C6</f>
        <v>39.4</v>
      </c>
      <c r="D13" s="4" t="n">
        <f aca="false">'Preset Meals'!D6</f>
        <v>28.2</v>
      </c>
      <c r="E13" s="4" t="n">
        <f aca="false">'Preset Meals'!E6</f>
        <v>26.9</v>
      </c>
      <c r="F13" s="4" t="n">
        <f aca="false">'Preset Meals'!F6</f>
        <v>6</v>
      </c>
      <c r="G13" s="3" t="n">
        <f aca="false">'Preset Meals'!H6</f>
        <v>625</v>
      </c>
    </row>
    <row r="14" customFormat="false" ht="15" hidden="false" customHeight="false" outlineLevel="0" collapsed="false">
      <c r="A14" s="2" t="s">
        <v>39</v>
      </c>
      <c r="B14" s="3" t="n">
        <f aca="false">'Preset Meals'!B7</f>
        <v>558</v>
      </c>
      <c r="C14" s="4" t="n">
        <f aca="false">'Preset Meals'!C7</f>
        <v>56.8</v>
      </c>
      <c r="D14" s="4" t="n">
        <f aca="false">'Preset Meals'!D7</f>
        <v>32</v>
      </c>
      <c r="E14" s="4" t="n">
        <f aca="false">'Preset Meals'!E7</f>
        <v>21.4</v>
      </c>
      <c r="F14" s="4" t="n">
        <f aca="false">'Preset Meals'!F7</f>
        <v>5.1</v>
      </c>
      <c r="G14" s="3" t="n">
        <f aca="false">'Preset Meals'!H7</f>
        <v>260</v>
      </c>
    </row>
    <row r="15" customFormat="false" ht="15" hidden="false" customHeight="false" outlineLevel="0" collapsed="false">
      <c r="A15" s="2" t="s">
        <v>55</v>
      </c>
      <c r="B15" s="3" t="n">
        <f aca="false">'Preset Meals'!B8</f>
        <v>215</v>
      </c>
      <c r="C15" s="4" t="n">
        <f aca="false">'Preset Meals'!C8</f>
        <v>25.5</v>
      </c>
      <c r="D15" s="4" t="n">
        <f aca="false">'Preset Meals'!D8</f>
        <v>28</v>
      </c>
      <c r="E15" s="4" t="n">
        <f aca="false">'Preset Meals'!E8</f>
        <v>1.8</v>
      </c>
      <c r="F15" s="4" t="n">
        <f aca="false">'Preset Meals'!F8</f>
        <v>4</v>
      </c>
      <c r="G15" s="3" t="n">
        <f aca="false">'Preset Meals'!H8</f>
        <v>62</v>
      </c>
    </row>
    <row r="16" customFormat="false" ht="15" hidden="false" customHeight="false" outlineLevel="0" collapsed="false">
      <c r="A16" s="2" t="s">
        <v>69</v>
      </c>
      <c r="B16" s="3" t="n">
        <f aca="false">'Preset Meals'!B10</f>
        <v>600</v>
      </c>
      <c r="C16" s="4" t="n">
        <f aca="false">'Preset Meals'!C10</f>
        <v>62</v>
      </c>
      <c r="D16" s="4" t="n">
        <f aca="false">'Preset Meals'!D10</f>
        <v>40</v>
      </c>
      <c r="E16" s="4" t="n">
        <f aca="false">'Preset Meals'!E10</f>
        <v>21.2</v>
      </c>
      <c r="F16" s="4" t="n">
        <f aca="false">'Preset Meals'!F10</f>
        <v>7</v>
      </c>
      <c r="G16" s="3" t="n">
        <f aca="false">'Preset Meals'!H10</f>
        <v>150</v>
      </c>
    </row>
    <row r="17" customFormat="false" ht="15" hidden="false" customHeight="false" outlineLevel="0" collapsed="false">
      <c r="A17" s="2" t="s">
        <v>230</v>
      </c>
      <c r="B17" s="3" t="n">
        <v>125</v>
      </c>
      <c r="C17" s="4" t="n">
        <v>1</v>
      </c>
      <c r="D17" s="4" t="n">
        <v>18</v>
      </c>
      <c r="E17" s="4" t="n">
        <v>5</v>
      </c>
      <c r="F17" s="4" t="n">
        <v>0</v>
      </c>
      <c r="G17" s="3" t="n">
        <v>40</v>
      </c>
    </row>
    <row r="18" customFormat="false" ht="15" hidden="false" customHeight="false" outlineLevel="0" collapsed="false">
      <c r="A18" s="5" t="s">
        <v>231</v>
      </c>
      <c r="B18" s="6" t="n">
        <f aca="false">SUM(B13:B17)</f>
        <v>2019</v>
      </c>
      <c r="C18" s="7" t="n">
        <f aca="false">SUM(C13:C17)</f>
        <v>184.7</v>
      </c>
      <c r="D18" s="7" t="n">
        <f aca="false">SUM(D13:D17)</f>
        <v>146.2</v>
      </c>
      <c r="E18" s="7" t="n">
        <f aca="false">SUM(E13:E17)</f>
        <v>76.3</v>
      </c>
      <c r="F18" s="7" t="n">
        <f aca="false">SUM(F13:F17)</f>
        <v>22.1</v>
      </c>
      <c r="G18" s="6" t="n">
        <f aca="false">SUM(G13:G17)</f>
        <v>1137</v>
      </c>
    </row>
    <row r="20" customFormat="false" ht="15" hidden="false" customHeight="false" outlineLevel="0" collapsed="false">
      <c r="A20" s="13" t="s">
        <v>144</v>
      </c>
    </row>
    <row r="21" customFormat="false" ht="15" hidden="false" customHeight="false" outlineLevel="0" collapsed="false">
      <c r="A21" s="14" t="s">
        <v>232</v>
      </c>
    </row>
    <row r="22" customFormat="false" ht="15" hidden="false" customHeight="false" outlineLevel="0" collapsed="false">
      <c r="A22" s="14" t="s">
        <v>233</v>
      </c>
    </row>
    <row r="23" customFormat="false" ht="15" hidden="false" customHeight="false" outlineLevel="0" collapsed="false">
      <c r="A23" s="14" t="s">
        <v>234</v>
      </c>
    </row>
    <row r="24" customFormat="false" ht="15" hidden="false" customHeight="false" outlineLevel="0" collapsed="false">
      <c r="A24" s="14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2026-06-21T15:54:13Z</dcterms:created>
  <dc:creator>openpyxl</dc:creator>
  <dc:description/>
  <dc:language>en-US</dc:language>
  <cp:lastModifiedBy/>
  <dcterms:modified xsi:type="dcterms:W3CDTF">2026-06-21T15:54:13Z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